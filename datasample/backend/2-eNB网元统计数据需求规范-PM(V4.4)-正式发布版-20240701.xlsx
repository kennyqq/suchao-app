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9200" windowHeight="7130" tabRatio="864"/>
  </bookViews>
  <sheets>
    <sheet name="修订历史" sheetId="1" r:id="rId1"/>
    <sheet name="Index" sheetId="2" r:id="rId2"/>
    <sheet name="数据上报的统一要求" sheetId="3" r:id="rId3"/>
    <sheet name="HA" sheetId="4" r:id="rId4"/>
    <sheet name="HB" sheetId="5" r:id="rId5"/>
    <sheet name="HC" sheetId="6" r:id="rId6"/>
    <sheet name="HD" sheetId="7" r:id="rId7"/>
    <sheet name="HE" sheetId="8" r:id="rId8"/>
    <sheet name="HF" sheetId="9" r:id="rId9"/>
    <sheet name="HG" sheetId="10" r:id="rId10"/>
    <sheet name="HH" sheetId="11" r:id="rId11"/>
    <sheet name="HI" sheetId="12" r:id="rId12"/>
    <sheet name="HJ" sheetId="13" r:id="rId13"/>
    <sheet name="HK" sheetId="14" r:id="rId14"/>
    <sheet name="HL" sheetId="15" r:id="rId15"/>
    <sheet name="HM" sheetId="16" r:id="rId16"/>
    <sheet name="HN" sheetId="17" r:id="rId17"/>
    <sheet name="HO" sheetId="18" r:id="rId18"/>
    <sheet name="HP" sheetId="19" r:id="rId19"/>
    <sheet name="HQ" sheetId="20" r:id="rId20"/>
    <sheet name="HR" sheetId="21" r:id="rId21"/>
    <sheet name="HS" sheetId="22" r:id="rId22"/>
    <sheet name="HT" sheetId="23" r:id="rId23"/>
    <sheet name="HU" sheetId="24" r:id="rId24"/>
    <sheet name="HV" sheetId="25" r:id="rId25"/>
  </sheets>
  <definedNames>
    <definedName name="_xlnm._FilterDatabase" localSheetId="3" hidden="1">HA!$A$1:$N$43</definedName>
    <definedName name="_xlnm._FilterDatabase" localSheetId="4" hidden="1">HB!$A$1:$N$67</definedName>
    <definedName name="_xlnm._FilterDatabase" localSheetId="6" hidden="1">HD!$A$1:$N$65</definedName>
    <definedName name="_xlnm._FilterDatabase" localSheetId="7" hidden="1">HE!$A$1:$N$36</definedName>
    <definedName name="_xlnm._FilterDatabase" localSheetId="11" hidden="1">HI!$A$1:$N$7</definedName>
  </definedNames>
  <calcPr calcId="144525"/>
</workbook>
</file>

<file path=xl/sharedStrings.xml><?xml version="1.0" encoding="utf-8"?>
<sst xmlns="http://schemas.openxmlformats.org/spreadsheetml/2006/main" count="5677" uniqueCount="2211">
  <si>
    <t>版本</t>
  </si>
  <si>
    <t>日期</t>
  </si>
  <si>
    <t>相关会议</t>
  </si>
  <si>
    <t>修订内容</t>
  </si>
  <si>
    <t>修订人</t>
  </si>
  <si>
    <t>V1.0.0</t>
  </si>
  <si>
    <t>创建第一稿</t>
  </si>
  <si>
    <t>李健、梁双春、胡亚希、袁静</t>
  </si>
  <si>
    <t>1、增加了测量族说明</t>
  </si>
  <si>
    <t>李健、梁双春</t>
  </si>
  <si>
    <t>2、明确了各性能测量上报周期</t>
  </si>
  <si>
    <t>3、明确了设备入网时性能测量的准确性测试要求</t>
  </si>
  <si>
    <t>4、删除多个性能测量英文名称的测量族与测量名称之间的空格。</t>
  </si>
  <si>
    <t>5、删除“RRC连接建立失败次数”，因为据36.331，RRCConnectionReject未约定拒绝原因字段，无助于问题分析，同理删除“RRC连接重建失败次数”。</t>
  </si>
  <si>
    <t>6、ERAB.NbrAttModQoS更名为ERAB.NbrAttMod，ERAB.NbrSuccModQoS更名为ERAB.NbrSuccMod，ERAB.NbrFailModQoS更名为ERAB.NbrFailMod。</t>
  </si>
  <si>
    <t>7、ERAB.NbrReqRelEnbPerCause更名为ERAB.NbrReqRelEnb，原因在子测量名中体现。</t>
  </si>
  <si>
    <t>8、ERAB.NbrReqRelEnbPerTraffic._Qci更名为ERAB.NbrReqRelEnb._Qci，业务通过QCI来区分。</t>
  </si>
  <si>
    <t>9、将ERAB.NbrReqRelEnb._Qci.NormalRelease改为ERAB.NbrReqRelEnb.NormalRelease._Qci</t>
  </si>
  <si>
    <t>10、删除E-RAB正常释放的原因值：（1）Detach，应对应于Detach Request消息 （2）Redirection towards 1xRTT，不适合于中国移动的网络 (3) UE Not Available for PS Service,UE不应存在E-RAB。</t>
  </si>
  <si>
    <t>11、“MME释放的E-RAB数”的英文名 ERAB.NbrReqRelEnbMmeInitNoHOPerTraffic改为ERAB.NbrReqRelMmeInitNoHo</t>
  </si>
  <si>
    <t>12、“成功切换释放的E-RAB数”的英文名ERAB.NbrReqRelEnbByHOPerTraffic改为ERAB.NbrReqRelEnbByHo</t>
  </si>
  <si>
    <t>13、“eNB间X2切换出准备成功次数”英文名HO.SubccPrepOutInterEnbX2
改为HO.SuccPrepOutInterEnbX2</t>
  </si>
  <si>
    <t>14、明确“eNB间S1切换出执行请求次数”的消息为携带mobilityControlInfo的RRC Connection Reconfiguration。</t>
  </si>
  <si>
    <t>15、更改“eNB间S1切换出执行成功次数”的定义，由“UE CONTEXT RELEASE COMMAND”修改为“RRC ConnectionReconfiguration Complete”。</t>
  </si>
  <si>
    <t>16、增加“eNB间S1切换出完成次数”，对应于UE CONTEXT RELEASE COMMAND消息。</t>
  </si>
  <si>
    <t>1、增加“eNB间切出失败的E-RAB数”，并分QCI进行统计，切换失败的E-RAB应计为掉线。</t>
  </si>
  <si>
    <t>李健</t>
  </si>
  <si>
    <t>2、删除“分业务的eNB请求释放的激活E-RAB个数”，因其用途不明确。</t>
  </si>
  <si>
    <t>3、将“eNB间S1切换出准备请求次数”更名为“eNB间S1切换出请求次数”，“eNB间X2切换出准备请求次数”更名为“eNB间X2切换出请求次数”</t>
  </si>
  <si>
    <t>4、删除“eNB间切换出请求次数”，因为若eNB向多个X2口及S1口同都发切换请求时，不重复计数的标准不明确。</t>
  </si>
  <si>
    <t>5、删除同频、异频切换出准备请求次数与成功次数，因为同、异频对准备阶段的成功率无影响。同理，切换完成阶段与同异频关系也无关。对于同异频，重点关注切换执行过程的成功率。</t>
  </si>
  <si>
    <t>6、增加“同频切换出执行请求次数”、“异频切换出执行请求次数”。</t>
  </si>
  <si>
    <t>7、对于切换入请求、准备、准备失败次数，不考虑eNB内，因为eNB内无准备相关信令。</t>
  </si>
  <si>
    <t>8、增加了“eNB间S1切换出取消次数”和“eNB间X2切换出取消次数”</t>
  </si>
  <si>
    <t>9、删除“系统间分组域切换出请求次数（EPS-&gt;CDMA2000）”。</t>
  </si>
  <si>
    <t>10、来、去2G的切换，英文名字中的Gprs改为Geran。</t>
  </si>
  <si>
    <t>11、增加了“2G切入成功次数”、“3G切入成功次数”。</t>
  </si>
  <si>
    <t>12、(HH页）S1接口流量统计移动HL页，S1.IncNbrOctsGtpU更名为S1.IncNbrOctGtpU</t>
  </si>
  <si>
    <t>13、(HH页）PDCP层的统计，原先分别使用了DRB、SRB、PDCP三个族，统一为PDCP族</t>
  </si>
  <si>
    <t>14、(HH页）DRB.PdcpSduBitUL更名为PDCP.UpOctUl, DRB.PdcpSduOctDl更名为PDCP.UpOctDl，SRB.PdcpSduBitUl更名为PDCP.CpOctUl, SRB.PdcpSduBitDl更名为PDCP.CpOctDl，DRB.PdcpSduLossRateUl更名为PDCP.UpPktLossRateUl， DRB.PdcpSduDelayDl更名为PDCP.UpPktDelayDl， DRB.PdcpSduDiscardRateDl更名为PDCP.UpPktDiscardRateDl, DRB.PdcpSduAirLossRateDl更名为PDCP.UpPktLossRateDl， PDCP.NbrUl更名为PDCP.NbrPktUl，PDCP.NbrDl更名为PDCP.NbrPktDl。</t>
  </si>
  <si>
    <t>15、（HI页）RRU.TrafficDrbPrbUlAssnMean更名为RRU.DtchPrbAssnMeanUl，RRU.TrafficDrbPrbDlAssnMean更名为RRU.DtchPrbAssnMeanDl，RRU.PdcchCceDlAssnMean
更名为RRU.PdcchCceUtilRadio,RRU.RachPreambleMean.Dedicated更名为RRU.RachPreambleRcvd</t>
  </si>
  <si>
    <t>1、（HI页）ENBHI02“上行业务信道占用PRB平均数”-&gt;“下行业务信道占用PRB平均数”
（HF页），新增MRO相关切换失败次数</t>
  </si>
  <si>
    <t>梁双春</t>
  </si>
  <si>
    <t>V1.1.0</t>
  </si>
  <si>
    <t>1、(HB页）ERAB.InitEstabTimeMean更名为ERAB.EstabTimeMean，ERAB.InitEstabTimeMax更名为ERAB.EstabTimeMax。</t>
  </si>
  <si>
    <t>2、(HB页）ERAB不再区分Initial E-RAB与Additional E-RAB。“初始E-RAB建立请求数”与“附加E-RAB建立请求数”合并为“E-RAB建立请求数”，“初始E-RAB建立成功数”与“附加E-RAB建立成功数”合并为“E-RAB建立成功数”。“初始E-RAB建立失败数”与“附加E-RAB建立失败数”合并为“E-RAB建立失败数”。</t>
  </si>
  <si>
    <t>3、(HB页）“ERAB.NbrExistPerTraffic”的英文名为更名为 “ERAB.NbrLeft”，中文名称由“E-RAB数”改为“遗留E-RAB数”</t>
  </si>
  <si>
    <t>4、（HC页）增加了性能测量“正常的eNB请求释放上下文数”(CONTEXT.AttRelEnb.Normal)</t>
  </si>
  <si>
    <t>5、(HB)页ERAB.NbrReqRelEnb.NormalRelease改为ERAB.NbrReqRelEnb.Normal。</t>
  </si>
  <si>
    <t>6、（HD页）“eNB间S1切换出完成次数”更名为“eNB间S1切换出成功次数”,“eNB间X2切换出完成次数”更名为“eNB间X2切换出成功次数”，英文名称不变。</t>
  </si>
  <si>
    <t>7、（HB页）“小区切换入E-RAB数”更名为“切换入E-RAB数”，英文名称不变。</t>
  </si>
  <si>
    <t>8、（HI)“上行PRB占用平均数”明确为PUSCH的PRB占用。</t>
  </si>
  <si>
    <t>9、（HD）删除“eNB间S1切换出执行成功次数”、“eNB间X2切换出执行成功次数”。“同频切换出执行成功次数”改为“同频切换出成功次数”，“异频切换出执行成功次数”改为“异频切换出成功次数”，且修改成功对应的信令消息。</t>
  </si>
  <si>
    <t>10、（HF）删除“系统内每相邻关系切换出执行成功次数”</t>
  </si>
  <si>
    <t>11、（HB）“切出失败的E-RAB数”明确只统计成功的切换过程。</t>
  </si>
  <si>
    <t>12、（HF）“系统内每相邻关系切换出完成次数”更名为“系统内每相邻关系切换出成功次数”</t>
  </si>
  <si>
    <t>13、（HF）“系统内每相邻关系切换出请求次数”增加分原因切换统计。</t>
  </si>
  <si>
    <t>14、（HG）“寻呼请求记录个数”更名为“寻呼记录接收个数”，“寻呼丢弃记录个数”更名为“寻呼记录丢弃个数”，并更新指标定义。</t>
  </si>
  <si>
    <t>15、（HH）更新PDCP.NbrPktDl（小区下行包数）的定义。</t>
  </si>
  <si>
    <t>16、增加了S1AP相关的伪测量._Cause实例化时测量名取值的建议，见ERAB.NbrFailEstab._Cause
(ENBHB07,分原因的E-RAB建立失败数)的备注栏。</t>
  </si>
  <si>
    <t>V2.0.0</t>
  </si>
  <si>
    <t>1、（HD）增加HO.AvgTimeInterEnbS1（eNB间S1平均切换时长）、HO.AvgTimeInterEnbX2（eNB间X2切换平均时长）</t>
  </si>
  <si>
    <t>李健、胡亚希</t>
  </si>
  <si>
    <t>2、（HE）增加了IRATHO.AvgTimeOutGeran（切换至2G平均时长）、
IRATHO.AvgTimeOutUtran（切换至3G平均时长）</t>
  </si>
  <si>
    <t>3、（HC）增加了CONTEXT.AttInitalSetup.Csfb(CSFB初始上下文建立请求次数)、CONTEXT.SuccInitalSetup.Csfb(CSFB初始上下文建立成功次数)、CONTEXT.AttMod.Csfb（CSFB上下文修改请求次数）、CONTEXT.SuccMod.Csfb（CSFB上下文修改成功次数）</t>
  </si>
  <si>
    <t>4、新增HM页（MAC层性能测量数据）</t>
  </si>
  <si>
    <t>5、（HF）HO.SuccOutPerRelation(系统内每相邻关系切换出成功次数)的触发点中增加eNB内切换的触发点。</t>
  </si>
  <si>
    <t>6、（HI）PRB平均数 的数据类型由整数改为实数。</t>
  </si>
  <si>
    <t>7、（HF）“基于EutranRelation的切换测量数据”统计对象由EutranRelation
改为EutranRelationTdd</t>
  </si>
  <si>
    <t>8、（HN）增加了CQI数统计。</t>
  </si>
  <si>
    <t>9、（HH）删除PDCP.UpPktLossRateUl(小区用户面上行丢包率)、PDCP.UpPktLossRateDl（小区用户面下行丢包率）、PDCP.UpPktLossRateDl(小区用户面下行丢包率)，改为统计PDCP.NbrPktLossUl（小区上行丢包数）、PDCP.NbrPktLossDl（小区下行丢包数）、PDCP.UpPktDiscardDl(小区下行弃包数)。</t>
  </si>
  <si>
    <t>10、(HA)增加RRC.ConnReleaseCsfb（CSFB触发的RRC连接释放次数）</t>
  </si>
  <si>
    <t>V2.0.0正式发布</t>
  </si>
  <si>
    <t>V2.1.0</t>
  </si>
  <si>
    <t>1、(HB)应无线优化处的要求增加ERAB.NbrFailEstab.CauseTransport。</t>
  </si>
  <si>
    <t>2、应无线优化处的要求增加基站的“系统平均负荷”、“系统最大负荷”于新增的HO页。</t>
  </si>
  <si>
    <t>3、（HM)MAC.NbrTbDl._Rank改为MAC.NbrTbDl.Rank1和MAC.NbrTbDl.Rank2</t>
  </si>
  <si>
    <t>4、应无线优化处的要求，增加“小区平均发射功率”和“小区最大发射功率”于新增的HP页。</t>
  </si>
  <si>
    <t>5、增加“RRU平均发射功率”和“RRU最大发射功率”于新增的HQ页。</t>
  </si>
  <si>
    <t>6、(HD)HO.SubcOutPrepInterEnbX2修改为HO.SuccOutPrepInterEnbX2。</t>
  </si>
  <si>
    <t>7、（HI）RRU.PdcchCceUtilRadio改为RRU.PdcchCceUtilRatio</t>
  </si>
  <si>
    <t>8、(HA）应无线优化处要求增加“有效RRC连接平均数”。</t>
  </si>
  <si>
    <t>9、(HB)ERAB.NbrHoInc测试要求改为“否”，原因是该消息需要使用空口监测，操作难度较大。</t>
  </si>
  <si>
    <t>V2.1.0发布。</t>
  </si>
  <si>
    <t>V2.2.0</t>
  </si>
  <si>
    <t>1、HA05(修订)：明确“RRC连接建立请求次数”统计含重发（现网测试中发现有的厂商用含重发的，有的用不含重发的计数器进行映射。各设备商对于不含重发情况的统计，较难达成一致）</t>
  </si>
  <si>
    <t xml:space="preserve">方波 </t>
  </si>
  <si>
    <t>2、HB07(新增)：增加“无线资源不足原因导致的E-RAB建立失败数”（需求来源：无线优化处）</t>
  </si>
  <si>
    <t>3、HB11(修订),HC07(修订)：“正常的eNB请求释放的E-RAB数”和“正常的eNB请求释放上下文数”中正常原因增加“UE Not Available for PS Service、Redirection towards 1xRTT”(现网测试发现不同厂商对于正常释放的原因理解有差异，所以本轮修订对正常原因进一步做了完善)</t>
  </si>
  <si>
    <t>4、HA08(新增)、HC09(新增)、HD23(新增)：增加“RRC连接重建成功次数(非源侧小区)”、“遗留上下文个数”和“切换入成功次数”（新增小区级别无线掉线率指标，所以新增了计算指标所涉及的3个测量项）</t>
  </si>
  <si>
    <t>5、HH02(修订)、HH04(修订)、HH09(修订)：“小区用户面下行字节数”、“小区控制面下行字节数”、“小区用户面下行平均时延”定义中增加对成功发送的描述(现网测试中发现有的厂商统计的是“发送未确认”的情况，有的厂商统计的“发送且确认发送成功”的情况，本轮修订做了统一)</t>
  </si>
  <si>
    <t>6、HI01～HI04(修订)：“上行业务信道占用PRB平均数”、“下行业务信道占用PRB平均数”、“上行PUSCH PRB占用平均数”、“下行PDSCH PRB占用平均数”的定义中明确了求平均数的方法(原规范未明确求平均的方法，本次修订做了明确)
7、HI07～HI10(新增)：增加“上行PUSCH PRB可用平均数”、“下行PDSCH PRB可用平均数”、“上行PUSCH TTI总数”、“下行PDSCH TTI总数”用于无线利用率等指标的计算(拟从另一个角度评估无线利用率，所以新增了计算指标所涉及的4个测量项)</t>
  </si>
  <si>
    <t>8、部分测量项的优先级做了调整
9、小的文字修订</t>
  </si>
  <si>
    <t>V2.3.0</t>
  </si>
  <si>
    <t>1、HH11～HH12(增加)：增加“小区PDCP层接收上行数据的业务总时长”、““小区PDCP层接收下行数据的业务总时长”，基于激活ERAB统计业务总时长
2、HB07(新增)：增加“无线接口进程失败原因导致的E-RAB建立失败数”
3、HB16～HB19（新增）：增加“下行平均激活E-RAB数”、“上行平均激活E-RAB数”、“下行最大激活E-RAB数”、“上行最大激活E-RAB数”，统计激活E-RAB数（代表用户数）
（需求来源：无线优化处四川优化项目）</t>
  </si>
  <si>
    <t>4、HA11（新增）：增加“有效RRC连接最大数”，用于系统扩容评估。（需求来源：无线优化处四川优化项目）</t>
  </si>
  <si>
    <t>5、HN17～HN18（新增）：增加“小区RB上行平均干扰电平”、“小区RB上行最大干扰电平”，统计每RB上行干扰噪声值。（需求来源：无线优化处四川优化项目）</t>
  </si>
  <si>
    <t>6、HF08～HF09（新增）：增加“系统内每相邻关系目标小区无响应原因导致的切换出准备失败次数”、“系统内每相邻关系目标小区回复切换准备失败消息导致切换出准备失败次数”(需求来源：浙江公司)</t>
  </si>
  <si>
    <t>V2.3.1</t>
  </si>
  <si>
    <t>1、ENBHB17英文名字“ERAB.ActiveMeanNbrDL._Qci”改为“ERAB.ActiveMaxNbrDL._Qci”；ENBHB19英文名字“ERAB.ActiveMeanNbrUL._Qci”改为“ERAB.ActiveMaxNbrUL._Qci”</t>
  </si>
  <si>
    <t>V2.3.2</t>
  </si>
  <si>
    <t>1、ENBHH12英文名字“PDCP.Thrp.TimeDL”和“PDCP.Thrp.TimeDL._Qci”改为“PDCP.ThrpTimeDL”和“PDCP.ThrpTimeDL._Qci”</t>
  </si>
  <si>
    <t>V2.4.0</t>
  </si>
  <si>
    <t>1、ENBHA09增加两个子项以区分到2G和3G的重定向，并对原有的“CSFB触发的RRC连接释放次数”子项信令描述进行细化。</t>
  </si>
  <si>
    <t>2、ENBHD01～04、06～10、12～18增加QCI=1的子项用于VoLTE指标的计算</t>
  </si>
  <si>
    <t>3、在“Index”页补充伪测量的命名规则</t>
  </si>
  <si>
    <t>4、增加ENBHM09/10和ENBHM01/05的子项，增加语音半持续调度上行初传TB块数、语音半持续调度下行初传TB块数、语音调度上行TB块总数、语音调度下行TB块总数用于计算半持续调度占比指标</t>
  </si>
  <si>
    <t>5、修订ENBHN01～16，明确了载波聚合场景下，CQI 统计需要区分Pcell和Scell。</t>
  </si>
  <si>
    <t>6、增加ENBHI11～12，描述载波聚合场景下，本小区借用Scell的PDSCH PRB总数、被PCell借用的PDSCH PRB总数</t>
  </si>
  <si>
    <t>7、增加ENBHI13/14，统计上行VoLTE占用PRB总数、下行VoLTE占用PRB总数，用于VoLTE指标的计算。</t>
  </si>
  <si>
    <t>8、增加ENBHA12～13，分别描述载波聚合场景下以本小区为PCell的下行CA平均激活UE数和协作多点传输场景下进入上行CoMP状态UE平均数</t>
  </si>
  <si>
    <t>9、ENBHC01、04：在备注中增加描述：统计CSFB触发的次数，可以用“initial Context Setup Request（HC01） + Ue context Modification Request（HC04）”，上述两条消息都携带IE为“Cs Fallback”（来源：监控处）</t>
  </si>
  <si>
    <t>10、增加HR sheet页，为“基于GSMRelation的切换测量数据”，包含4G-2G相邻关系级别的切换统计，具体为：LTE到GSM每相邻关系切换出请求次数、LTE到GSM每相邻关系切换出准备成功次数、LTE到GSM每相邻关系切换出成功次数，以便了解4G到2G的邻区对切换成功情况，支撑互操作邻区以及参数优化。（来源：无线优化处）</t>
  </si>
  <si>
    <t>11、HM03/07在原QPSK模式上/下行成功传输初始TB数、16QAM模式上/下行成功传输初始TB数、64QAM模式上/下行成功传输初始TB数统计基础上，增加了细分QCI = 1的统计。（来源：无线优化处）</t>
  </si>
  <si>
    <t>V2.4.1</t>
  </si>
  <si>
    <t>1、ENBHB11增加子项，单独统计用户不活动原因eNB请求释放的E-RAB数。</t>
  </si>
  <si>
    <t>2、ENBHC07增加子项，单独统计用户不活动原因eNB请求释放上下文数</t>
  </si>
  <si>
    <t>V2.5</t>
  </si>
  <si>
    <t>1、增加ENBHI15，统计小区不可用时长，并区分不可用总时长，节能不可用时长和S1接口故障不可用时长。</t>
  </si>
  <si>
    <t>2、增加“HS”页，添加ENBHS01/02指标，为S1接口UE相关逻辑信令连接建立请求次数、S1接口UE相关逻辑信令连接建立成功次数，用于计算S1接口UE相关逻辑信令连接建立成功率指标。</t>
  </si>
  <si>
    <t>3、修改ENBHH09测量项，小区用户面下行平均时延（PDCP.UpPktDelayDl）数据类型整数改为实数。</t>
  </si>
  <si>
    <t>4、增加ENBHM11/12测量项，为上/下行调度的最大UE数目。</t>
  </si>
  <si>
    <t>5、增加ENBHB20测量项，为激活E-RAB释放个数，定义参照3GPP 36.425。</t>
  </si>
  <si>
    <t>6、修改ENBHH07测量项，明确小区下行包数中包含丢包数。</t>
  </si>
  <si>
    <t>7、修改ENBHC07测量项定义，增加描述“注：eNB等待INITIAL CONTEXT SETUP REQUEST消息超时，随后eNB发起的UE CONTEXT RELEASE REQUEST消息不统计”。</t>
  </si>
  <si>
    <t>8、“Index”页伪测量命名规则没有提及“._PRB”的处理，此次补上。</t>
  </si>
  <si>
    <t>9、每页增加“是否需要企业级NanoCell支持”列（新增N列），用于描述对企业级NanoCell测量项要求，填“是”的项要求设备支持北向接口上报。（来源：无线优化处）</t>
  </si>
  <si>
    <t>V2.5.1</t>
  </si>
  <si>
    <t>1、修改ENBHB02、ENBHB03、ENBHB12、ENBHH03、ENBHH04、ENBHP01、ENBHP02项为Nanocell不需要支持。</t>
  </si>
  <si>
    <t>2、增加ENBHI16测量项，为PDCCH信道CCE可用个数。</t>
  </si>
  <si>
    <t>3、修改ENBHD01、ENBHD04、ENBHD07、ENBHD10、ENBHD13、ENBHD14项，增加QCI2承载的单独统计。</t>
  </si>
  <si>
    <t>4、修改ENBHI09/10测量项定义，明确TTI数为小区能够提供的总数。</t>
  </si>
  <si>
    <t>5、修改ENBHM06测量项定义，明确包含SRB和DRB所有TB数。</t>
  </si>
  <si>
    <t>6、增加ENBHB21/22测量项，为初始E-RAB建立请求/成功次数。</t>
  </si>
  <si>
    <t>7、修改ENBHN01～ENBHN16,定义中明确“空间复用条件下,一次上报两个码字的CQI分别计数。”。</t>
  </si>
  <si>
    <t>8、增加ENBHI17测量项，为上行MU-MIMO占用PRB数。</t>
  </si>
  <si>
    <t>9、修改ENBHI07/08测量项，备注中明确“室分场景多个RRU占用的同一个RB计算为1”。</t>
  </si>
  <si>
    <t>V2.6</t>
  </si>
  <si>
    <t>1、修改ENBHM02/06，增加子项为QCI=1的下行传输初始TB数、QCI=1的上行传输初始TB数，用于计算上/下行iBLER：（1-上/下行初传成功TB数）/（上/下行传输初始TB数），公式为1-(MAC.NbrSuccInitTbdl.Qpsk.1+MAC.NbrSuccInitTbdl.16qam.1+MAC.NbrSuccInitTbdl.64qam.1)/MAC.NbrInitTbdl.1*100%和1-(MAC.NbrSuccInitTbUl.Qpsk.1+MAC.NbrSuccInitTbUl.16qam.1+MAC.NbrSuccInitTbUl.64qam.1)/MAC.NbrInitTbUl.1*100%（来源：无线优化处）</t>
  </si>
  <si>
    <t xml:space="preserve">2、增加ENBHI18～24测量项，分别为上行业务信道占用PRB数、下行业务信道占用PRB数、上行PUSCH PRB占用数、下行PDSCH PRB占用数、PDCCH信道CCE占用个数、上行PUSCH PRB可用数、下行PDSCH PRB可用数，用于未来取代ENBHI01～05、ENBHI07/08、ENBHI13/14。
</t>
  </si>
  <si>
    <t xml:space="preserve">3、增加ENBHH13测量项，为小区用户面下行总时延，用于未来取代ENBHH09。
</t>
  </si>
  <si>
    <t xml:space="preserve">4、增加ENBHA14/15测量项，为接纳用户平均数和最大数。与ENBHA03/04的区别在CA场景下，前者包含了Scell接纳的用户数。
</t>
  </si>
  <si>
    <t>5、增加ENBHI25/26测量项，为上/下行PRB负载评估利用率平均值。利用S1/X2接口RESOURCE STATUS UPDATE消息中UL/DL Total PRB usage上报值评估容量负荷。</t>
  </si>
  <si>
    <t>6、修改ENBHM01/05测量项，增加QCI2承载调度上/下行TB块总数。</t>
  </si>
  <si>
    <t>V2.7</t>
  </si>
  <si>
    <t>1、增加ENBHL03～06测量项，采集基站到SGW传输链路的丢包率、时延和抖动性能。</t>
  </si>
  <si>
    <t>2、参考《中国移动TD-LTE无线网络主设备规范v5.0.0-无线功能分册》里面的指标，增加ENBHD24～27测量项，统计基于负载均衡的切换请求/成功次数，基于负载均衡的测量控制/报告消息数量。</t>
  </si>
  <si>
    <t>3、参考《中国移动TD-LTE无线网络主设备规范v5.0.0-无线功能分册》里面的指标，增加ENBHI27～30、ENBHA16测量项，统计上行CA时借用/被借用的PUSCH PRB总数、上/下行CoMP 占用的PUSCH/PDSCH PRB总数，和进入下行CoMP状态平均UE数。</t>
  </si>
  <si>
    <t>4、参考《中国移动TD-LTE无线网络主设备规范v5.0.0-无线功能分册》里面的指标，增加ENBHM13测量项，对各传输模式，在原有TB数统计的基础上增加RB数的统计。</t>
  </si>
  <si>
    <t>5、增加ENBHB23测量项，为最大E-RAB数统计，对应指标VoLTE业务峰值用户数。（来源：监控处）</t>
  </si>
  <si>
    <t>6、修改ENBHE01～05测量项，删除分组域要求，并在备注中注明这几项在中国移动场景就是eSRVCC切换统计。（来源：监控处）</t>
  </si>
  <si>
    <t>7、修改ENBHA07测量项，明确写明RRC连接重建请求次数统计不计重发。（来源：维护优化处）</t>
  </si>
  <si>
    <t>8、修改ENBHH11和ENBHH12测量项，说明时长统计不包含最后一个TTI。增加ENBHH14和ENBHH15测量项，单独统计尾包数据量。</t>
  </si>
  <si>
    <t>9、增加HT页，对象为CellComponent子小区，为了提供分RRU的流量统计。（来源：无线优化处）</t>
  </si>
  <si>
    <t>10、NanoCell规范从宏站中分离，HA-HT每页删除“是否需要企业级NanoCell支持”列。</t>
  </si>
  <si>
    <t>V2.8</t>
  </si>
  <si>
    <t>1、ENBHA15  RRC.AdmisssionConnMax英文名改为RRC.AdmissionConnMax。（大唐）</t>
  </si>
  <si>
    <t>2、ENBHD05、ENBHD11、ENBHE05、ENBHE10、ENBHA01、ENBHB02时长类统计在备注中注明0代表无效值。（华为）</t>
  </si>
  <si>
    <t>3、ENBHE04/09异系统切换成功统计中，增加对具体原因值的描述，以避免将切换未完成时其他信令过程引发的上下文释放统计为切换成功。（浙江）</t>
  </si>
  <si>
    <t>4、ENBHE05增加至2G切换执行平均时长子项。（湖南）</t>
  </si>
  <si>
    <t>5、修改ENBHH13定义，增加统计终点描述。原规范参考3GPP定义，统计中包含ACK上行传输时间，省公司认为这导致VoLTE下行平均时延统计结果偏大。现采纳省公司意见修改。（湖南）</t>
  </si>
  <si>
    <t>6、容量评估相关项：（研究院、北京）
   1）修改ENBHH12的定义，删除采样时间间隔描述，即要求按逐个TTI统计。
   2）修改ENBHA10/11有效RRC连接平均/最大数定义中强调以用户面数据有传输或缓存为依据，并补充“在每100ms内，逐毫秒累加计数，但不重复累加同一有效RRC连接数”。
   3）修改ENBHA03/04RRC连接平均/最大数定义中约束采样间隔为1秒。
   4）增加ENBHI31上行PUCCH PRB分配数测量项，以评估PUCCH消耗PRB资源的数量。
   5）在ENBHI16/22中增加上行DCI所在子帧的PDCCH信道CCE可用个数、上行DCI所在子帧的PDCCH信道CCE占用个数、上行DCI所在子帧的PDCCH信道上行DCI占用CCE个数子项，以评估上行DCI所在子帧上的CCE是否成为资源瓶颈。</t>
  </si>
  <si>
    <t>7、增加下行256QAM和TM9相关统计，涉及ENBHM05～07、ENBHM13子项增加。（中兴）</t>
  </si>
  <si>
    <t>8、ENBHB07/11ERAB建立失败和ERAB请求释放次数统计中增加分QCI分原因的统计。（中兴）</t>
  </si>
  <si>
    <t>9、增加ENBHA17RRC连接建立不含重发失败次数统计。（中兴）</t>
  </si>
  <si>
    <t>10、将V2.6版本中被取代的测量项删除，具体包括ENBHH09、ENBHI01～05、ENBHI07/08、ENBHI13/14。（维护优化处）</t>
  </si>
  <si>
    <t xml:space="preserve">11、现网载波聚合的应用效果，主要从CA用户速率增益、CA渗透率、CA激活率方面进行评估，在网管中增加如下指标：
ENBHA12为以本小区为PCell的下行CA平均激活UE数，增加单独统计2CC和3CC的CA平均激活数；
增加ENBHA18为以本小区为PCell的上行CA平均激活UE数；
增加ENBHA19为以本小区为PCell的下行CA平均配置UE数，并单独统计2CC和3CC的CA平均配置数；
增加ENBHA20为以本小区为PCell的上行CA平均配置UE数；
ENBHH11/12增加CA激活用户在PDCP层上/下行数据业务总时长子项；
ENBHH01/02增加CA激活用户的小区用户面上/下行字节数子项；
ENGHH14/15增加CA激活用户的小区用户面上/下行尾包字节数。（研究院）    </t>
  </si>
  <si>
    <t xml:space="preserve">12、根据VoLTE会战各省反馈需求：
系统内每邻区关系切换请求、成功次数统计应单独统计QCI=1的情况，故ENBHF01～04增加QCI=1子项；
ENBHD19切换出失败次数统计中增加QCI=1的分原因统计子项；
增加ENBHF10乒乓切换次数统计。   </t>
  </si>
  <si>
    <t xml:space="preserve">13、ENBHI22增加PDCCH信道CCE聚合度为1/2/4/8的占用个数子项统计。（广东、研究院）   </t>
  </si>
  <si>
    <t xml:space="preserve">14、ENBHI20/21增加频选调度的PUSCH/PDSCH PRB占用数子项统计。（研究院）   </t>
  </si>
  <si>
    <t>V2.8.1</t>
  </si>
  <si>
    <t>1、ENBHB23“每QCI最大E-RAB数”的数据类型更改为整数。</t>
  </si>
  <si>
    <t>V2.9</t>
  </si>
  <si>
    <t xml:space="preserve">1、修订ENBHB06E-RAB建立成功数测量，增加“流程冲突导致E-RAB建立中断次数”统计。单独统计流程冲突导致E-RAB建立中断次数，场景为VoLTE业务弱场起呼触发FlashCsfb（bSRVCC规避方案）导致的E-RAB建立流程中断，或ERAB建立完成前发起切换流程。因为此类流程冲突不会直接造成通话失败，故包含在E-RAB建立成功数中。 </t>
  </si>
  <si>
    <t xml:space="preserve">2、ENBHI16增加子项“上行DCI所在子帧的PDCCH信道为上行DCI预留的CCE个数”，为了更加直观体现3、8子帧上上行DCI使用资源的情况。 </t>
  </si>
  <si>
    <t>1、修改规范适用于FDD：（来源：无线优化处）
（1）空间粒度原来为“EutranCellTdd”和“EutranRelationTdd”的变更为“EutranCellTdd EutranCellFdd”和“EutranRelation”。
（2）ENBHI16和ENBHI22针对上行DCI所在子帧的CCE个数统计在定义中注明不适用于EutranCellFdd。
（3）ENBHM05和ENBHM13定义中注明“TM5~8下行传输TB数统计仅EutranCellTdd小区支持”，ENBHM13增加TM4下行传输SFBC RB数、TM4下行传输SM RB数测量子项。</t>
  </si>
  <si>
    <t>2、修改规范适用于eMTC：（来源：无线优化处）
（1）Index页注1描述改变，为了避免.eMTC和._Cause子项命名冲突，修改声明为“2）._Cause对应子测量项，命名为以“Cause”开头，接仅由大小写字母、数字和“_”组成的字符串(例如为3GPP或厂家私有原因英文字符串缩写),不能包含空格”。
（2）ENBHM05和ENBHM13定义中注明“eMTC仅支持TM1/2/6/9；eMTC仅支持RANK1”。
（3）ENBHA03～08、ENBHB01、ENBHB04～07、ENBHB11～15、ENBHB23、ENBHD01～04、ENBHD06～10、ENBHD12～14、ENBHH01、ENBHH02、ENBHI18、ENBHI19、ENBHM01、ENBHM05增加eMTC终端测量子项。</t>
  </si>
  <si>
    <t>3、ENBHA17定义中明确“区分建立失败原因分别统计。”</t>
  </si>
  <si>
    <t>4、增加3D-MIMO测量项：（来源：研究院）
（1）增加ENBHM14～21测量项，为MassiveMIMO上/下行传输RB数、TB数、字节数分流统计；同时Index页注1描述增加声明“4）._Stream对应子测量项，命名为英文字母或数字开头的字符串（仅由大小写字母、数字和“_”组成）。”
（2）ENBHM13增加TM7下行传输RB数子项。
（3）增加ENBHI32/33测量项，为上行PUSCH/下行PDSCH满PRB调度TTI数</t>
  </si>
  <si>
    <t>5、ENBHI11/12/27/28关于CA借用PRB数统计定义中明确“DRB承载所使用的PRB总数”，以对齐“上/下行每PRB平均吞吐量”指标公式中“业务信道占用PRB数”（DTCH信道）。</t>
  </si>
  <si>
    <t>V3.0</t>
  </si>
  <si>
    <t>1、修订Index页，增加注2：PM的空间粒度里写了TDD/FDD的，则均需要上报，HM14～21写了只针对TDD，则FDD无需上报</t>
  </si>
  <si>
    <t>2、ENBHN17、ENBHN18，新增备注：“超过带宽的PRB测量项不应参与计算”</t>
  </si>
  <si>
    <t>3、新增ENBHM22～ENBHM27： MAC层流量统计</t>
  </si>
  <si>
    <t>4、新增ENBHI34～ENBHI44：CCE和SRS资源统计、PDCCH功率统计等</t>
  </si>
  <si>
    <t>5、修订ENBHI38、ENBHI39指标定义，PDCCH功率统计,并将类型修改为实数。（且新增了备注：计算方式按照PDCCH总功率=RRU的总功率-CRS功率-PHICH功率-PCFICH的功率）；
修订ENBHI42、ENBHI43指标定义，SRS资源统计；并删除原ENBHI44
修订ENBHI40、ENBHI41指标定义，新增备注：当前针对64QAM MCS</t>
  </si>
  <si>
    <t>V3.1</t>
  </si>
  <si>
    <t>2018-3-13规范修订会</t>
  </si>
  <si>
    <t>1、原PM规范3.0中，ENBHM22～ENBHM27六项指标存在笔误，本次在定义中删除了“控制面”三个字，应统计MAC层所有流量</t>
  </si>
  <si>
    <t>2、ENBHB11里面的子项”eMTC终端eNB请求释放的E-RAB数“定义列，存在笔误，已修正为“统计eMTC终端eNB请求释放的E-RAB数”</t>
  </si>
  <si>
    <t>V3.2</t>
  </si>
  <si>
    <t>2018-9-4 4G/5G无线网元统计数据需求规范修订会</t>
  </si>
  <si>
    <t>1、补充RRU级的用户数和流量等指标的性能统计，以满足集团和省内RRU级的统计分析需求（需求来源：无线优化处）。新增ENBHT03（CellComponent粒度）：最大E-RAB数相关统计三个测量项
2、ENBHB23、ENBHB01定义中应明确测量间隔，设定为1秒</t>
  </si>
  <si>
    <t>方波，王磊，王西点，程楠，徐晶</t>
  </si>
  <si>
    <t>V3.3</t>
  </si>
  <si>
    <t>2019-5-7规范修订会</t>
  </si>
  <si>
    <t xml:space="preserve">1、应无线优化处的需求，增加扩展QCI的统计：
   在index页注释1.1）中增加说明“对于备注增加了“支持扩展QCI”的测量项：允许各省在QCI10～256选定其中5个进行统计。对于该测量，不区分QCI时统计的是所有QCI统计结果的总和（即：包含QCI1~QCI9与扩展QCI的总和”，且在HB/HH中对于可支持扩展QCI的测量项在备注列加以说明。
2、新增HU两项针对能耗统计的测量项：
   ENBHU01“BBU平均功率”和ENBHU02“RRU平均功率”，在备注中说明不区分BBU/RRU的一体化设备只上报BBU平均功率作为一体化基站总功率；对于BBU/RRU分离的设备，分别上报BBU平均功率和RRU平均功率。
3、新增HU两项针对节电统计的测量项：
   ENBHU03“载波关断生效时长”和ENBHU04“通道关断生效时长”
</t>
  </si>
  <si>
    <t>方波，赵文娟，徐晶</t>
  </si>
  <si>
    <t>V3.4</t>
  </si>
  <si>
    <t>2020-6-12</t>
  </si>
  <si>
    <t>2020-6-12规范修订会</t>
  </si>
  <si>
    <t>1、ENBHA09中新增重定向到5G的测量统计：重定向到5G的RRC连接释放次数
2、HA中修改以下测量项的重要度：
   1）ENBHA12中RRC.ActiveMeanNbrPCellDl、RRC.ActiveMeanNbrPCellDl.2CC的重要度由C修改为CA；RRC.ActiveMeanNbrPCellDl.3CC的重要度由CA修改为CB；
   2）ENBHA13、ENBHA16将重要度由C修改为CB；
   3）ENBHA19中RRC.ConfigMeanNbrPCellDl、RRC.ConfigMeanNbrPCellDl.2CC的重要度由C修改为CA；RRC.ConfigMeanNbrPCellDl.3CC的重要度由CA修改为CB
3、新增HE中ENBHE19~ENBHE27的LTE与5G异系统切换统计
4、修改ENBHJ04、ENBHJ06的数据类型为整数
5、修改HU中节能相关测量项的定义及空间粒度：
   1）ENBHU01 "BBU平均功率"修订定义、空间粒度及备注，重要度由B修改为CB
   2）ENBHU02 "RRU平均功率"修订定义及备注
6、新增HU中节能相关测量项：ENBHU05 网元平均功率
7、修改所有CA/CB/CC类测量项的备注，增加条件说明</t>
  </si>
  <si>
    <t>刘云霞，赵文娟，程楠，宗宇雷</t>
  </si>
  <si>
    <t>V3.5</t>
  </si>
  <si>
    <t>2020年12月规范修订会</t>
  </si>
  <si>
    <t xml:space="preserve">1、根据定义中的描述，修改ENBHI16、ENBHI22四个C类PM的空间粒度，消除歧义，包括：
RRU.PdcchCceAvail.UlDciSf
RRU.PdcchCceReserve.UlDciSf
RRU.PdcchCceUtil.UlDciSf
RRU.PdcchCceUtil.UlDciSfForUl
空间粒度修改为EutranCellTdd
2、修订笔误：ENBHD14中第二个HO.SuccOutIntraEnb.eMTC应为HO.SuccOutIntraEnb.1；
3、修订笔误：ENBHB10中ERAB.NbrFailMod._Cause的中文名称为修改为分原因的E-RAB修改失败数；
4、增加“数据上报的统一要求”表，对数据上报中的注意事项进行说明，数据上报需严格按照此要求；
5、修订ENBHA01的备注为：无RRC连接建立时此值报“-”（英文减号）；
6、修订ENBHB02的备注为：无ERAB建立时此值报“-”（英文减号）；
7、修订ENBHD05、ENBHD11、ENBHE05、ENBHE10、ENBHE23的备注为：无成功切换时此值报“-”（英文减号）；
8、修订ENBHA09中重定向到3G的RRC连接释放次数的重要度为CB，增加备注：CB条件：存在3G场景时;
9、修订ENBHE06~ENBHE10，ENBHE15~ENBHE18与3G相关的切换指标的重要度为CC，增加备注：CC条件：存在3G场景时;
10、修订ENBHD24、ENBHD25的重要度为CA，增加备注：CA条件：开启负载均衡功能；
11、修订ENBHG02的重要度为CA，增加备注：CA条件：网络拥塞或故障时；
12、修订ENBHJ04~ENBHJ07的重要度为CB，增加备注：CB条件：传输异常或故障场景；
13、修订ENBHL03~ENBHL06的重要度为CB，增加备注：CB条件：对端IP层传输设备配合开启对应功能；
14、修订ENBHM05中TM9下行传输TB数的重要度为CB，增加备注：CB条件：开启TM9功能;
15、修订ENBHM06中256QAM模式下行传输初始TB数的重要度为CB，增加备注：CB条件：开启256QAM功能；
16、修订ENBHM07中256QAM模式下行成功传输初始TB数、QCI=1的256QAM模式下行成功传输初始TB数的重要度为CB，增加备注：CB条件：开启256QAM功能；
17、修订ENBHM13中几个与TM9相关测量项的重要度为CB，增加备注，CB条件：开启TM9功能；
18、修订HR中三个测量项的重要度为CB，增加备注，CB条件：2G开启SRVCC；
19、修订HT中测量项的重要度为CB/CC，增加备注，CB/CC条件：存在小区合并场景；
20、修订ENBHM09、ENBHM10的重要度为CB，增加备注，CB条件：开启VOLTE语音SPS半静态调度
</t>
  </si>
  <si>
    <t>V3.6</t>
  </si>
  <si>
    <t>2021年6月规范修订会</t>
  </si>
  <si>
    <t>1、新增ENBHA21、ENBHA22指标统计同时存在的NR终端(包含SA &amp; NSA )RRC连接平均数量和最大数量。</t>
  </si>
  <si>
    <t>刘云霞，宗宇雷</t>
  </si>
  <si>
    <t>V3.7</t>
  </si>
  <si>
    <t>2021年12月规范修订会</t>
  </si>
  <si>
    <t>1、ENBHM05的MAC.NbrTbDl.Tm5-8指标的空间粒度修正为EutranCellTdd。
2、ENBHM13的MAC.NbrRbDl.Tm7、MAC.NbrRbDl.Tm8相关指标的空间粒度修正为EutranCellTdd。</t>
  </si>
  <si>
    <t>V3.8</t>
  </si>
  <si>
    <t>1.HV sheet增加网络共享区分PLMN相关指标,主要包括区分PLMN 的ERAB 建立成功率，ERAB 掉线率，UE 掉线率，用户数，有效用户数，PDCP 流量，丢包率，UE 速率，S1 成功率等
2.增加“数据上报的统一要求” sheet 第6条</t>
  </si>
  <si>
    <t>殷旭、蒲伯巍</t>
  </si>
  <si>
    <t>V3.9</t>
  </si>
  <si>
    <t>2022年12月规范修订会</t>
  </si>
  <si>
    <t>1. 数据上报的统一要求 sheet :增加第7条</t>
  </si>
  <si>
    <t>V4.0</t>
  </si>
  <si>
    <t>2023年6月规范修订会</t>
  </si>
  <si>
    <t>1. HU sheet  ENBHU03、ENBHU04 修改定义
 增加节能相关统计
ENBHU06  EE.SlotShutdownTime 符号关断时长
ENBHU07  EE.DeepSleepTime 深度休眠时长
ENBHU08  EE.LTENEMeanPower 网元平均功率LTE（近似）
ENBHU09  EE.NBNEMeanPower 网元平均功率NB（近似）
ENBHU10  EE.GSMNEMeanPower 网元平均功率GSM（近似）</t>
  </si>
  <si>
    <t>V4.1</t>
  </si>
  <si>
    <t>2023年12月规范修订会</t>
  </si>
  <si>
    <t>1.HN：增加ENBHN19小区上行平均干扰电平指标</t>
  </si>
  <si>
    <t>殷旭、胡亚希、蒲伯巍</t>
  </si>
  <si>
    <t>更新ENBHN17的定义和ENBHN19的触发点，明确干扰电平的具体计算方法。</t>
  </si>
  <si>
    <t>V4.3</t>
  </si>
  <si>
    <t>北斗授时相关修订</t>
  </si>
  <si>
    <t>1、本次PM未作改动，仅版本号跟随NRM升级为V4.3</t>
  </si>
  <si>
    <t>V4.4</t>
  </si>
  <si>
    <t>2024年6月规范修订会</t>
  </si>
  <si>
    <t>1、修改“数据上报的统一要求”第4条和第7条内容，主要涉及异常场景数据上报以及停止维护规范版本相关要求
2、格式刷新（解决测试工具导入合并单元格信息错误问题）：ENBHA09、ENBHA12、ENBHA17、ENBHA19和ENBHC01的采集方式、数据类型、单位、空间粒度、时间粒度、上报周期、测试要求拆分单元格，并修改空间粒度
3、HU：新增BBU平均温度；新增ENBHU11下行功率优化生效时长</t>
  </si>
  <si>
    <t>索引</t>
  </si>
  <si>
    <t>性能参数表名</t>
  </si>
  <si>
    <t>备注</t>
  </si>
  <si>
    <t>A类测量数</t>
  </si>
  <si>
    <t>B类测量数</t>
  </si>
  <si>
    <t>C类测量数</t>
  </si>
  <si>
    <t>CA类测量数</t>
  </si>
  <si>
    <t>CB类测量数</t>
  </si>
  <si>
    <t>CC类测量数</t>
  </si>
  <si>
    <t>小计</t>
  </si>
  <si>
    <t>A类测试数</t>
  </si>
  <si>
    <t>B类测试数</t>
  </si>
  <si>
    <t>测试数</t>
  </si>
  <si>
    <t>HA</t>
  </si>
  <si>
    <t>RRC连接性能测量数据</t>
  </si>
  <si>
    <t>HB</t>
  </si>
  <si>
    <t>E-RAB性能测量数据</t>
  </si>
  <si>
    <t>HC</t>
  </si>
  <si>
    <t>上下文统性能测量数据</t>
  </si>
  <si>
    <t>HD</t>
  </si>
  <si>
    <t>系统内分组域切换性能测量数据</t>
  </si>
  <si>
    <t>HE</t>
  </si>
  <si>
    <t>系统间分组域切换性能测量数据</t>
  </si>
  <si>
    <t>HF</t>
  </si>
  <si>
    <t>基于EutranRelation的切换测量数据</t>
  </si>
  <si>
    <t>HG</t>
  </si>
  <si>
    <t>小区寻呼性能测量数据</t>
  </si>
  <si>
    <t>HH</t>
  </si>
  <si>
    <t>小区无线承载相关测量数据</t>
  </si>
  <si>
    <t>HI</t>
  </si>
  <si>
    <t>无线资源利用率相关测量数据</t>
  </si>
  <si>
    <t>HJ</t>
  </si>
  <si>
    <t>SCTP偶联性能测量数据</t>
  </si>
  <si>
    <t>HK</t>
  </si>
  <si>
    <t>以太网端口性能测量数据</t>
  </si>
  <si>
    <t>HL</t>
  </si>
  <si>
    <t>S1接口流量测量数据</t>
  </si>
  <si>
    <t>HM</t>
  </si>
  <si>
    <t>MAC层性能测量数据</t>
  </si>
  <si>
    <t>HN</t>
  </si>
  <si>
    <t>小区无线信道统计数据</t>
  </si>
  <si>
    <t>HO</t>
  </si>
  <si>
    <t>ENB硬件处理负荷测量</t>
  </si>
  <si>
    <t>HP</t>
  </si>
  <si>
    <t>小区发射功率测量</t>
  </si>
  <si>
    <t>HQ</t>
  </si>
  <si>
    <t>RRU发射功率测量</t>
  </si>
  <si>
    <t>HR</t>
  </si>
  <si>
    <t>基于GSMRelation的切换测量数据</t>
  </si>
  <si>
    <t>HS</t>
  </si>
  <si>
    <t>S1接口信令测量</t>
  </si>
  <si>
    <t>HT</t>
  </si>
  <si>
    <t>子小区测量</t>
  </si>
  <si>
    <t>HU</t>
  </si>
  <si>
    <t>能耗相关测量</t>
  </si>
  <si>
    <t>HV</t>
  </si>
  <si>
    <t>区分PLMN网络共享测量数据</t>
  </si>
  <si>
    <t>合计</t>
  </si>
  <si>
    <t>测量族</t>
  </si>
  <si>
    <t>测量族说明</t>
  </si>
  <si>
    <t>RRC</t>
  </si>
  <si>
    <t>RRC连接相关性能测量</t>
  </si>
  <si>
    <t>ERAB</t>
  </si>
  <si>
    <t>E-RAB相关性能测量</t>
  </si>
  <si>
    <t>CONTEXT</t>
  </si>
  <si>
    <t>UE Context相关性能测量</t>
  </si>
  <si>
    <t>系统内切换相关性能测量</t>
  </si>
  <si>
    <t>IRATHO</t>
  </si>
  <si>
    <t>系统间切换相关性能测量</t>
  </si>
  <si>
    <t>PAG</t>
  </si>
  <si>
    <t>小区寻呼相关性能测量</t>
  </si>
  <si>
    <t>PDCP</t>
  </si>
  <si>
    <t>PDCP层相关性能测量</t>
  </si>
  <si>
    <t>RRU</t>
  </si>
  <si>
    <t>无线资源利用率相关性能测量</t>
  </si>
  <si>
    <t>SIG</t>
  </si>
  <si>
    <t>通用信令性能测量</t>
  </si>
  <si>
    <t>EQPT</t>
  </si>
  <si>
    <t>网元物理资源性能测量</t>
  </si>
  <si>
    <t>S1</t>
  </si>
  <si>
    <t>S1接口性能测量</t>
  </si>
  <si>
    <t>PHY</t>
  </si>
  <si>
    <t>小区物理层相关性能测量</t>
  </si>
  <si>
    <t>S1SIG</t>
  </si>
  <si>
    <t>MAC</t>
  </si>
  <si>
    <t>MAC层相关性能测量</t>
  </si>
  <si>
    <t>EE</t>
  </si>
  <si>
    <t>能耗相关统计</t>
  </si>
  <si>
    <t>注1：伪测量的命名规则为：
1）._Qci对应子测量项，命名为“1"～"9"数字，并可递加扩展，如ENBHB01"每QCI平均E-RAB数"子项的名称为ERAB.NbrMeanEstab.1～ERAB.NbrMeanEstab.9；  对于备注增加了“支持扩展QCI”的测量项：允许各省在QCI10～256选定其中5个进行统计。对于该测量，不区分QCI时统计的是所有QCI统计结果的总和（即：包含QCI1~QCI9与扩展QCI的总和）。
2）._Cause对应子测量项，命名为以“Cause”开头，接仅由大小写字母、数字和“_”组成的字符串(例如为3GPP或厂家私有原因英文字符串缩写),不能包含空格；
3）._PRB对应子测量项，命名为英文字母或数字开头的字符串（仅由大小写字母、数字和“_”组成）。
4）._Stream对应子测量项，命名为英文字母或数字开头的字符串（仅由大小写字母、数字和“_”组成）。
5）._Mcs对应MCS 0-28阶，命名为“0"～"28"数字，如ENBHI40、ENBHI41
6）._PeriodSrs对应SRS周期，命名为{2, 5, 10, 20, 40, 80, 160, 320}数字，如ENBHI42、ENBHI43</t>
  </si>
  <si>
    <t>注2：PM的空间粒度里写了TDD/FDD的，则均需要上报，HM14～21写了只针对TDD，则FDD无需上报</t>
  </si>
  <si>
    <t>序号</t>
  </si>
  <si>
    <t>数据上报的统一要求</t>
  </si>
  <si>
    <t>本规范中测量项日期格式均应遵照YYYY-MM-DD。</t>
  </si>
  <si>
    <t>本规范中字符串列表的多个数据应以英文逗号“,”分隔。</t>
  </si>
  <si>
    <t>本规范中列表使用的分隔符应为英文半角。</t>
  </si>
  <si>
    <t>本规范中要求的所有counter均需要在北向文件中上报，对于特殊情况实现方式约束如下：
1、厂家不支持上报NS。
2、厂家支持，功能未生效（包括特性未开启或功能不具备外部条件）或功能生效但无业务发生场景上报要求如下：
1）平均时延类和干扰类指标上报“-”(英文减号)。
2）其他场景上报0值。
3、现网当前和以后都无应用场景的counter上报NA。</t>
  </si>
  <si>
    <t>基站断链场景，不上报实例。</t>
  </si>
  <si>
    <t>没有开通网络共享（MOCN）的小区，不用上报区分PLMN的指标。</t>
  </si>
  <si>
    <t>NSA,NB-IOT 不再单独维护，NSA,NB-IOT等规范内容无修订场景下，版本号和涉及到共性公共bug修改的固化到停止维护前的最后一版版本即可，不再发布更新规范。</t>
  </si>
  <si>
    <t>统计编码</t>
  </si>
  <si>
    <t>重要度</t>
  </si>
  <si>
    <t>英文名称</t>
  </si>
  <si>
    <t>中文名称</t>
  </si>
  <si>
    <t>定义</t>
  </si>
  <si>
    <t>触发点</t>
  </si>
  <si>
    <t>采集方式</t>
  </si>
  <si>
    <t>数据类型</t>
  </si>
  <si>
    <t>单位</t>
  </si>
  <si>
    <t>空间粒度</t>
  </si>
  <si>
    <t>时间粒度</t>
  </si>
  <si>
    <t>上报周期</t>
  </si>
  <si>
    <t>测试要求</t>
  </si>
  <si>
    <t>ENBHA01</t>
  </si>
  <si>
    <t>B</t>
  </si>
  <si>
    <t>RRC.SetupTimeMean</t>
  </si>
  <si>
    <t>RRC连接平均建立时长</t>
  </si>
  <si>
    <t xml:space="preserve">统计RRC连接平均建立时长。</t>
  </si>
  <si>
    <t>在预先设定测量周期内，统计每一个成功建立的RRC连接的时长并将其累加，即从eNB收到“RRC CONNECTION REQUEST”消息到 eNB收到“CONNECTION SETUP COMPLETE”消息之间的间隔时长。用得到该统计周期内的总时长除以该周期内成功建立的RRC连接个数，则得到每个RRC连接的平均建立时长。</t>
  </si>
  <si>
    <t xml:space="preserve">DER(n=1)</t>
  </si>
  <si>
    <t xml:space="preserve">整数</t>
  </si>
  <si>
    <t xml:space="preserve">ms</t>
  </si>
  <si>
    <t xml:space="preserve">EutranCellTdd
EutranCellFdd</t>
  </si>
  <si>
    <t xml:space="preserve">15分钟</t>
  </si>
  <si>
    <t>否</t>
  </si>
  <si>
    <t>无RRC连接建立时此值报“-”（英文减号）</t>
  </si>
  <si>
    <t>ENBHA02</t>
  </si>
  <si>
    <t>RRC.SetupTimeMax</t>
  </si>
  <si>
    <t>RRC连接最大建立时长</t>
  </si>
  <si>
    <t xml:space="preserve">统计RRC连接最大建立时长。</t>
  </si>
  <si>
    <t xml:space="preserve">在预先设定测量周期内，统计每一个成功建立的RRC连接的时长，即从eNB收到“RRC CONNECTION REQUEST”消息到 eNB收到“CONNECTION SETUP COMPLETE”消息之间的间隔时长。取该统计周期内的RRC连接时长的最大值，则得到每个RRC连接的最大建立时长。</t>
  </si>
  <si>
    <t>EutranCellTdd
EutranCellFdd</t>
  </si>
  <si>
    <t>ENBHA03</t>
  </si>
  <si>
    <t>RRC.ConnMean</t>
  </si>
  <si>
    <t>RRC连接平均数</t>
  </si>
  <si>
    <t xml:space="preserve">统计同时存在的RRC连接平均数量。</t>
  </si>
  <si>
    <t xml:space="preserve">以1秒为间隔采样，统计小区内同时存在的RRC连接数量，然后对采样点取平均值。</t>
  </si>
  <si>
    <t xml:space="preserve">SI</t>
  </si>
  <si>
    <t>实数</t>
  </si>
  <si>
    <t xml:space="preserve">个</t>
  </si>
  <si>
    <t xml:space="preserve">EutranCellTdd
EutranCellFdd
</t>
  </si>
  <si>
    <t>CB</t>
  </si>
  <si>
    <t>RRC.ConnMean.eMTC</t>
  </si>
  <si>
    <t>eMTC终端RRC连接平均数</t>
  </si>
  <si>
    <t>CB条件：eMTC功能开启时，针对eMTC终端的统计</t>
  </si>
  <si>
    <t>ENBHA04</t>
  </si>
  <si>
    <t>RRC.ConnMax</t>
  </si>
  <si>
    <t>RRC连接最大数</t>
  </si>
  <si>
    <t xml:space="preserve">统计同时存在的RRC连接最大数量。</t>
  </si>
  <si>
    <t xml:space="preserve">以1秒为间隔采样，统计小区内同时存在的RRC连接数量，然后对采样点取最大值。</t>
  </si>
  <si>
    <t>RRC.ConnMax.eMTC</t>
  </si>
  <si>
    <t>eMTC终端RRC连接最大数</t>
  </si>
  <si>
    <t>RRC.ConnMax.NoneMTC</t>
  </si>
  <si>
    <t>非eMTC终端RRC连接最大数</t>
  </si>
  <si>
    <t>ENBHA05</t>
  </si>
  <si>
    <t>A</t>
  </si>
  <si>
    <t>RRC.AttConnEstab</t>
  </si>
  <si>
    <t>RRC连接建立请求次数</t>
  </si>
  <si>
    <t>统计RRC连接建立请求的次数（含重发），并区分建立原因分别统计。含重发是指RRC 层检测成功一次就累加一次。</t>
  </si>
  <si>
    <t xml:space="preserve">eNB接收到UE发送的“RRC连接请求”（RRCConnectionRequest）消息，每个EstablishmentCause对应一个子测量项。（3GPP TS 36.331）</t>
  </si>
  <si>
    <t xml:space="preserve">CC</t>
  </si>
  <si>
    <t xml:space="preserve">次</t>
  </si>
  <si>
    <t>RRC.AttConnEstab.eMTC</t>
  </si>
  <si>
    <t>eMTC终端RRC连接建立请求次数</t>
  </si>
  <si>
    <t>C</t>
  </si>
  <si>
    <t>RRC.AttConnEstab._Cause</t>
  </si>
  <si>
    <t>分原因的RRC连接建立请求次数</t>
  </si>
  <si>
    <t xml:space="preserve">统计RRC连接建立请求的次数。</t>
  </si>
  <si>
    <t xml:space="preserve">
EutranCellTdd</t>
  </si>
  <si>
    <t>ENBHA06</t>
  </si>
  <si>
    <t>RRC.SuccConnEstab</t>
  </si>
  <si>
    <t>RRC连接建立成功次数</t>
  </si>
  <si>
    <t xml:space="preserve">统计RRC连接建立成功的次数，并区分建立原因分别统计。</t>
  </si>
  <si>
    <t xml:space="preserve">eNB接收到UE发送的“RRC连接建立完成”（RRCConnectionSetupComplete）消息，每个EstablishmentCause对应一个子测量项。（3GPP TS 36.331）</t>
  </si>
  <si>
    <t>RRC.SuccConnEstab.eMTC</t>
  </si>
  <si>
    <t>eMTC终端RRC连接建立成功次数</t>
  </si>
  <si>
    <t>RRC.SuccConnEstab._Cause</t>
  </si>
  <si>
    <t>分原因的RRC连接建立成功次数</t>
  </si>
  <si>
    <t xml:space="preserve">EutranCellTdd</t>
  </si>
  <si>
    <t>ENBHA07</t>
  </si>
  <si>
    <t>RRC.AttConnReestab</t>
  </si>
  <si>
    <t>RRC连接重建请求次数</t>
  </si>
  <si>
    <t xml:space="preserve">统计RRC连接重建请求次数（不计重发）,并区分重建原因分别统计。</t>
  </si>
  <si>
    <t xml:space="preserve">eNB接收到UE发来的“RRC连接重建请求”（RRCConnectionReestablishmentRequest）消息，每个ReestablishmentCause对应一个子测量项。（3GPP TS 36.331）</t>
  </si>
  <si>
    <t>RRC.AttConnReestab.eMTC</t>
  </si>
  <si>
    <t>eMTC终端RRC连接重建请求次数</t>
  </si>
  <si>
    <t>RRC.AttConnReestab._Cause</t>
  </si>
  <si>
    <t>分原因的RRC连接重建请求次数</t>
  </si>
  <si>
    <t>ENBHA08</t>
  </si>
  <si>
    <t>RRC.SuccConnReestab</t>
  </si>
  <si>
    <t>RRC连接重建成功次数</t>
  </si>
  <si>
    <t>统计RRC连接重建成功的次数,并区分重建原因分别统计。</t>
  </si>
  <si>
    <t xml:space="preserve">eNB接收到UE发来的“RRC连接重建完成”（RRCConnectionReestablishmentComplete）消息。（3GPP TS 36.331）</t>
  </si>
  <si>
    <t>RRC.SuccConnReestab.eMTC</t>
  </si>
  <si>
    <t>eMTC终端RRC连接重建成功次数</t>
  </si>
  <si>
    <t>RRC.SuccConnReestab.NonSrccell</t>
  </si>
  <si>
    <t>RRC连接重建成功次数(非源侧小区)</t>
  </si>
  <si>
    <t>RRC.SuccConnReestab._Cause</t>
  </si>
  <si>
    <t>分原因的RRC连接重建成功次数</t>
  </si>
  <si>
    <t>ENBHA09</t>
  </si>
  <si>
    <t>RRC.ConnReleaseCsfb</t>
  </si>
  <si>
    <t>CSFB触发的RRC连接释放次数</t>
  </si>
  <si>
    <t>统计CSFB触发的RRC连接释放次数</t>
  </si>
  <si>
    <t>eNB接收到MME发送的“初始上下文建立请求”（INITIAL CONTEXT SETUP REQUEST）消息或者“UE上下文修改请求”（UE CONTEXT MODIFICATION REQUEST）消息中携带CS Fallback Indicator，随后eNB向UE发送的RRCConnectionRelease消息中ReleaseCause=cs-FallbackHighPriority或ReleaseCause=other。(3GPP TS 36.331)</t>
  </si>
  <si>
    <t>CC</t>
  </si>
  <si>
    <t>次</t>
  </si>
  <si>
    <t>RRC.ConnRelease.RedirectTo2G</t>
  </si>
  <si>
    <t>重定向到2G的RRC连接释放次数</t>
  </si>
  <si>
    <t>统计LTE重定向2G的RRC连接释放次数</t>
  </si>
  <si>
    <t>eNB向UE发送RRCConnectionRelease消息，RedirectedCarrierInfo=geran (3GPP TS 36.331)</t>
  </si>
  <si>
    <t>RRC.ConnRelease.RedirectTo3G</t>
  </si>
  <si>
    <t>重定向到3G的RRC连接释放次数</t>
  </si>
  <si>
    <t>统计LTE重定向3G的RRC连接释放次数</t>
  </si>
  <si>
    <t>eNB发送RRCConnectionRelease消息，RedirectedCarrierInfo=utra-TDD或utra-FDD (3GPP TS 36.331)</t>
  </si>
  <si>
    <t>CB条件：存在3G场景时</t>
  </si>
  <si>
    <t>RRC.ConnRelease.RedirectTo5G</t>
  </si>
  <si>
    <t>重定向到5G的RRC连接释放次数</t>
  </si>
  <si>
    <t>统计LTE重定向5G的RRC连接释放次数</t>
  </si>
  <si>
    <t>eNB发送RRCConnectionRelease消息，RedirectedCarrierInfo= nr-r15(3GPP TS 36.331)</t>
  </si>
  <si>
    <t>RedirectedCarrierInfo的取值中utra-TDD含其后续版本</t>
  </si>
  <si>
    <t>ENBHA10</t>
  </si>
  <si>
    <t>RRC.EffectiveConnMean</t>
  </si>
  <si>
    <t>有效RRC连接平均数</t>
  </si>
  <si>
    <t>有数据传输的RRC连接平均数。以100ms为周期，记录有效RRC连接数，并取各个周期的平均值。在每100ms之内，若某RRC相关的任意一个E-RAB有用户面数据传输或缓存不为空，则视该RRC连接是有效的。在每100ms内，逐毫秒累加计数，但不重复累加同一有效RRC连接数。</t>
  </si>
  <si>
    <t>无</t>
  </si>
  <si>
    <t>SI</t>
  </si>
  <si>
    <t>ENBHA11</t>
  </si>
  <si>
    <t>RRC.EffectiveConnMax</t>
  </si>
  <si>
    <t>有效RRC连接最大数</t>
  </si>
  <si>
    <t>有数据传输的RRC连接最大数。以100ms为周期，记录有效RRC连接数，并取各个周期的最大值。在每100ms之内，若某RRC相关的任意一个E-RAB有用户面数据传输或缓存不为空，则视该RRC连接是有效的。在每100ms内，逐毫秒累加计数，但不重复累加同一有效RRC连接数。</t>
  </si>
  <si>
    <t>整数</t>
  </si>
  <si>
    <t>ENBHA12</t>
  </si>
  <si>
    <t>CA</t>
  </si>
  <si>
    <t>RRC.ActiveMeanNbrPCellDl</t>
  </si>
  <si>
    <t>以本小区为PCell的下行CA平均激活UE数</t>
  </si>
  <si>
    <t>在小区范围内，定期采样所有UE（已连接），统计得到此时将本小区做为Pcell的下行CA激活UE数，采样周期不超过1秒，在统计周期末求平均。
单独统计2CC和3CC的CA平均激活UE数。</t>
  </si>
  <si>
    <t>CA条件：开启载波聚合功能时，进行相关统计</t>
  </si>
  <si>
    <t>RRC.ActiveMeanNbrPCellDl.2CC</t>
  </si>
  <si>
    <t>以本小区为PCell的下行2CC的CA平均激活UE数</t>
  </si>
  <si>
    <t>RRC.ActiveMeanNbrPCellDl.3CC</t>
  </si>
  <si>
    <t>以本小区为PCell的下行3CC的CA平均激活UE数</t>
  </si>
  <si>
    <t>CB条件：开启载波聚合功能且打开3CC功能时进行统计</t>
  </si>
  <si>
    <t>ENBHA13</t>
  </si>
  <si>
    <t>RRC.MeanNbrCoMPUl</t>
  </si>
  <si>
    <t>进入上行CoMP状态平均UE数</t>
  </si>
  <si>
    <t>定期采样所有UE，统计小区内进入上行CoMP状态（指符合CoMP门限阈值要求）的UE数，采样周期不超过1秒，在统计周期末求平均。</t>
  </si>
  <si>
    <t>个</t>
  </si>
  <si>
    <t>CB条件：开启CoMP功能时，进行相关统计</t>
  </si>
  <si>
    <t>ENBHA14</t>
  </si>
  <si>
    <t>RRC.AdmissionConnMean</t>
  </si>
  <si>
    <t>接纳用户平均数</t>
  </si>
  <si>
    <t>统计接纳的同时存在的连接用户平均数量。</t>
  </si>
  <si>
    <t>此测量参数通过预先设定测量时间间隔采样，得到给定小区同时存在接纳连接用户数量，包括本小区RRC连接用户数和CA场景下本小区作为SCell接入（配置或激活）的用户数，对所有采样点取平均值。</t>
  </si>
  <si>
    <t>ENBHA15</t>
  </si>
  <si>
    <t>RRC.AdmissionConnMax</t>
  </si>
  <si>
    <t>接纳用户最大数</t>
  </si>
  <si>
    <t>统计接纳的同时存在的连接用户最大数量。</t>
  </si>
  <si>
    <t>此测量参数通过预先设定测量时间间隔采样，得到给定小区同时存在接纳连接用户数量，包括本小区RRC连接用户数和CA场景下本小区作为SCell接入（配置或激活）的用户数，对所有采样点取最大值。</t>
  </si>
  <si>
    <t>ENBHA16</t>
  </si>
  <si>
    <t>RRC.MeanNbrCoMPDl</t>
  </si>
  <si>
    <t>进入下行CoMP状态平均UE数</t>
  </si>
  <si>
    <t>定期采样所有UE，统计小区内进入下行CoMP状态（指符合CoMP门限阈值要求）的UE数，采样周期不超过1秒，在统计周期末求平均。</t>
  </si>
  <si>
    <t>ENBHA17</t>
  </si>
  <si>
    <t>RRC.FailConnEstab</t>
  </si>
  <si>
    <t>RRC连接建立不含重发失败次数</t>
  </si>
  <si>
    <t xml:space="preserve">统计RRC连接建立失败的次数，并区分建立失败原因分别统计。</t>
  </si>
  <si>
    <t>eNB向UE发送RRCConnectionRequest消息之后未收到“RRC连接建立完成”（RRCConnectionSetupComplete）消息，或eNB向UE发送RRCConnectionReject消息。针对单UE同一次接入，多个失败计算为1。每个失败原因对应一个子测量项。（3GPP TS 36.331）</t>
  </si>
  <si>
    <t>RRC.FailConnEstab._Cause</t>
  </si>
  <si>
    <t>分原因的RRC连接建立失败次数</t>
  </si>
  <si>
    <t>ENBHA18</t>
  </si>
  <si>
    <t>RRC.ActiveMeanNbrPCellUl</t>
  </si>
  <si>
    <t>以本小区为PCell的上行CA平均激活UE数</t>
  </si>
  <si>
    <t>在小区范围内，定期采样所有UE（已连接），统计得到此时将本小区做为Pcell的上行CA激活UE数，采样周期不超过1秒，在统计周期末求平均。</t>
  </si>
  <si>
    <t>ENBHA19</t>
  </si>
  <si>
    <t>RRC.ConfigMeanNbrPCellDl</t>
  </si>
  <si>
    <t>以本小区为PCell的下行CA平均配置UE数</t>
  </si>
  <si>
    <t>在小区范围内，定期采样所有UE（已连接），统计得到此时将本小区做为Pcell的下行CA配置UE数，采样周期不超过1秒，在统计周期末求平均。
单独统计2CC和3CC的CA平均配置UE数。</t>
  </si>
  <si>
    <t>RRC.ConfigMeanNbrPCellDl.2CC</t>
  </si>
  <si>
    <t>以本小区为PCell的下行2CC的CA平均配置UE数</t>
  </si>
  <si>
    <t>在小区范围内，定期采样所有UE（已连接），统计得到此时将本小区做为Pcell的下行CA激活UE数，采样周期不超过1秒，在统计周期末求平均。</t>
  </si>
  <si>
    <t>RRC.ConfigMeanNbrPCellDl.3CC</t>
  </si>
  <si>
    <t>以本小区为PCell的下行3CC的CA平均配置UE数</t>
  </si>
  <si>
    <t>ENBHA20</t>
  </si>
  <si>
    <t>RRC.ConfigMeanNbrPCellUl</t>
  </si>
  <si>
    <t>以本小区为PCell的上行CA平均配置UE数</t>
  </si>
  <si>
    <t>在小区范围内，定期采样所有UE（已连接），统计得到此时将本小区做为Pcell的上行CA配置UE数，采样周期不超过1秒，在统计周期末求平均。</t>
  </si>
  <si>
    <t>ENBHA21</t>
  </si>
  <si>
    <t>RRC.ConnMean.NR</t>
  </si>
  <si>
    <t>NR终端RRC连接平均数</t>
  </si>
  <si>
    <t>统计同时存在的NR终端（包含SA和NSA）RRC连接平均数量。</t>
  </si>
  <si>
    <t>以1秒为间隔采样，统计小区内同时存在的NR终端RRC连接数量，然后对采样点取平均值。
对于NR终端的判断，RRC建立完成后，当ENB收到INITIAL CONTEXT SETUP REQUEST中携带NR信息，ENB便完成NR终端的RRC相关统计和上报，如果此信令中没有携带NR终端的相关信息，等到UECapabilityInformation这条UE能力查询消息携带上来的NR信息进行判断上报。针对NSA终端识别为： RAT-ParametersNR-r15 的IE en-DC-r15为supported。
SA 终端识别为：
IRAT-ParametersNR-v1540的IE
sa-NR-r15 为supported。</t>
  </si>
  <si>
    <t>15分钟</t>
  </si>
  <si>
    <t>条件：基站进行NR终端进行能力查询。</t>
  </si>
  <si>
    <t>ENBHA22</t>
  </si>
  <si>
    <t>RRC.ConnMax.NR</t>
  </si>
  <si>
    <t>NR终端RRC连接最大数</t>
  </si>
  <si>
    <t>统计同时存在的NR终端（包含SA和NSA）RRC连接最大数量。</t>
  </si>
  <si>
    <t>以1秒为间隔采样，统计小区内同时存在的NR终端RRC连接数量，然后对采样点取最大值。
对于NR终端的判断，RRC建立完成后，当ENB收到INITIAL CONTEXT SETUP REQUEST中携带NR信息，ENB便完成NR终端的RRC相关统计和上报，如果此信令中没有携带NR终端的相关信息，等到UECapabilityInformation这条UE能力查询消息携带上来的NR信息进行判断上报。针对NSA终端识别为： RAT-ParametersNR-r15 的IE en-DC-r15为supported。
SA 终端识别为：
IRAT-ParametersNR-v1540的IE
sa-NR-r15 为supported。</t>
  </si>
  <si>
    <t>ENBHB01</t>
  </si>
  <si>
    <t>ERAB.NbrMeanEstab</t>
  </si>
  <si>
    <t>平均E-RAB数</t>
  </si>
  <si>
    <t xml:space="preserve">统计小区内同时存在的E-RAB平均个数。</t>
  </si>
  <si>
    <t>此测量参数通过预先设定测量时间间隔采样（目前固定为1秒间隔），得到给定小区同时存在的E-RAB数量，然后取平均值。</t>
  </si>
  <si>
    <t xml:space="preserve">实数</t>
  </si>
  <si>
    <t>ERAB.NbrMeanEstab.eMTC</t>
  </si>
  <si>
    <t>eMTC终端平均E-RAB数</t>
  </si>
  <si>
    <t>ERAB.NbrMeanEstab._Qci</t>
  </si>
  <si>
    <t>每QCI平均E-RAB数</t>
  </si>
  <si>
    <t>支持扩展QCI</t>
  </si>
  <si>
    <t>ENBHB02</t>
  </si>
  <si>
    <t>ERAB.EstabTimeMean</t>
  </si>
  <si>
    <t>E-RAB平均建立时长</t>
  </si>
  <si>
    <t>统计E-RAB平均建立时长。</t>
  </si>
  <si>
    <t>（1）统计从eNB收到MME发送的INITIAL CONTEXT SETUP REQUEST到eNB向MME发送INITIAL CONTEXT SETUP RESPONSE之间的时间间隔，不考虑消息中含有的E-RAB数。
（2）统计从eNB收到MME发送E-RAB Setup Request消息至eNB向MME发送E-RAB Setup Response之间的间隔时长，不考虑消息中含有的E-RAB数。
本测量项为上述两类时间间隔累加后，除以这两类消息数得到的算术平均值。注：只统计成功建立的E-RAB。</t>
  </si>
  <si>
    <t xml:space="preserve">毫秒</t>
  </si>
  <si>
    <t>无ERAB建立时此值报“-”（英文减号）</t>
  </si>
  <si>
    <t>ENBHB03</t>
  </si>
  <si>
    <t>ERAB.EstabTimeMax</t>
  </si>
  <si>
    <t>E-RAB最大建立时长</t>
  </si>
  <si>
    <t>统计E-RAB最大建立时长。</t>
  </si>
  <si>
    <t>（1）统计从eNB收到MME发送的INITIAL CONTEXT SETUP REQUEST到eNB向MME发送INITIAL CONTEXT SETUP RESPONSE之间的时间间隔，不考虑消息中含有的E-RAB数。
（2）统计从eNB收到MME发送E-RAB Setup Request消息至eNB向MME发送E-RAB Setup Response之间的间隔时长，不考虑消息中含有的E-RAB数。
本测量项为上述两类时间隔的最大值。注：只统计成功建立的E-RAB。</t>
  </si>
  <si>
    <t>ENBHB04</t>
  </si>
  <si>
    <t>ERAB.NbrHoInc</t>
  </si>
  <si>
    <t>切换入E-RAB数</t>
  </si>
  <si>
    <t xml:space="preserve">统计小区切换入E-RAB个数。</t>
  </si>
  <si>
    <t xml:space="preserve">eNB收到UE发送的“RRC连接重配置完成”消息
（RRCConnectionReconfigurationComplete），指示UE小区切换入时，统计该RRC连接对应的E-RAB个数，包括系统间的切换。（3GPP TS 23.401，TS 36.331和TS 36.413）</t>
  </si>
  <si>
    <t>ERAB.NbrHoInc.eMTC</t>
  </si>
  <si>
    <t>eMTC终端切换入E-RAB数</t>
  </si>
  <si>
    <t>ERAB.NbrHoInc._Qci</t>
  </si>
  <si>
    <t>每QCI切换入E-RAB数</t>
  </si>
  <si>
    <t>ENBHB05</t>
  </si>
  <si>
    <t>ERAB.NbrAttEstab</t>
  </si>
  <si>
    <t>E-RAB建立请求数</t>
  </si>
  <si>
    <t xml:space="preserve">统计请求建立的E-RAB个数，并该按业务类型分类统计。</t>
  </si>
  <si>
    <t>eNB接收到MME发来的“初始上下文建立请求消息”（INITIAL CONTEXT SETUP REQUEST）或 “E-RAB建立请求”（E-RAB SETUP REQUEST）消息，消息中包含的E-RAB个数。每个业务类型对应一个子测量项。（3GPP TS 36.413）。</t>
  </si>
  <si>
    <t>是</t>
  </si>
  <si>
    <t>ERAB.NbrAttEstab.eMTC</t>
  </si>
  <si>
    <t>eMTC终端E-RAB建立请求数</t>
  </si>
  <si>
    <t>ERAB.NbrAttEstab._Qci</t>
  </si>
  <si>
    <t>分QCI的E-RAB建立请求数</t>
  </si>
  <si>
    <t>ENBHB06</t>
  </si>
  <si>
    <t>ERAB.NbrSuccEstab</t>
  </si>
  <si>
    <t>E-RAB建立成功数</t>
  </si>
  <si>
    <t xml:space="preserve">统计E-RAB建立成功个数，并该按业务类型分类统计。</t>
  </si>
  <si>
    <t>eNB向MME发送“初始上下文建立响应”（INITIAL CONTEXT SETUP RESPONSE）消息或“E-RAB建立响应”（E-RAB SETUP RESPONSE）消息中，成功建立的E-RAB个数；并包括不直接造成通话失败的流程冲突导致E-RAB建立中断次数。每个业务类型对应一个子测量项。（3GPP TS 36.413）
单独统计流程冲突导致E-RAB建立中断次数，场景为VoLTE业务弱场起呼触发FlashCsfb（bSRVCC规避）导致的E-RAB建立流程中断，或ERAB建立完成前发起切换流程。因为此类流程冲突不会直接造成通话失败，故包含在E-RAB建立成功数中。</t>
  </si>
  <si>
    <t>ERAB.NbrSuccEstab.eMTC</t>
  </si>
  <si>
    <t>eMTC终端E-RAB建立成功数</t>
  </si>
  <si>
    <t>ERAB.NbrSuccEstab._Qci</t>
  </si>
  <si>
    <t>分QCI的E-RAB建立成功数</t>
  </si>
  <si>
    <t>ERAB.NbrSuccEstab._Qci.Conflict</t>
  </si>
  <si>
    <t>流程冲突导致E-RAB建立中断次数</t>
  </si>
  <si>
    <t>ENBHB07</t>
  </si>
  <si>
    <t>ERAB.NbrFailEstab</t>
  </si>
  <si>
    <t>E-RAB建立失败数</t>
  </si>
  <si>
    <t xml:space="preserve">统计E-RAB建立失败个数，并该按失败原因分类统计。</t>
  </si>
  <si>
    <t>eNB向MME发送“初始上下文建立响应”（INITIAL CONTEXT SETUP RESPONSE）消息和“初始上下文建立失败”（INITIAL CONTEXT SETUP FAILURE）中建立失败的E-RAB个数，或eNB向MME发送“E-RAB 建立响应”（E-RAB SETUP RESPONSE）消息中建立失败的-RAB个数，每个原因对应一个子测量项。
无线资源不足指准入控制中由于用户数、ERAB数目、PRB资源、SRS数目、PUCCH资源等受限造成的E-RAB建立不成功。
无线接口进程失败指空口信令交互相关定时器超时等造成的E-RAB建立不成功，包括UE无响应等现象。</t>
  </si>
  <si>
    <t>1)S1AP消息相关的性能测量中的伪测量._Cause，在实现时建议使用CauseRadioNetwork[N]、CauseTransport[N]、CauseNas[N]、CauseProtocol[N]、CauseMisc[N]的形式，其中，N是一个大于等于0的整数，如CauseRadioNetwork[0]、CauseRadioNetwork[1]、CauseRadioNetwork[2]……，CauseRadioNetwork[N]代表的含义，可参见36.413 的9.3节。
2)CB条件：eMTC功能开启时，针对eMTC终端的统计</t>
  </si>
  <si>
    <t>ERAB.NbrFailEstab.eMTC</t>
  </si>
  <si>
    <t>eMTC终端E-RAB建立失败数</t>
  </si>
  <si>
    <t>ERAB.NbrFailEstab.CauseTransport</t>
  </si>
  <si>
    <t>传输层原因的E-RAB建立失败数</t>
  </si>
  <si>
    <t>ERAB.NbrFailEstab.CauseRadioResourcesNotAvailable</t>
  </si>
  <si>
    <t>无线资源不足原因导致的E-RAB建立失败数</t>
  </si>
  <si>
    <t>ERAB.NbrFailEstab.CauseFailureInRadioInterfaceProcedure</t>
  </si>
  <si>
    <t>无线接口进程失败原因导致的E-RAB建立失败数</t>
  </si>
  <si>
    <t>ERAB.NbrFailEstab._Cause</t>
  </si>
  <si>
    <t>分原因的E-RAB建立失败数</t>
  </si>
  <si>
    <t>ERAB.NbrFailEstab._Qci._Cause</t>
  </si>
  <si>
    <t>分QCI分原因的E-RAB建立失败数</t>
  </si>
  <si>
    <t>ENBHB08</t>
  </si>
  <si>
    <t>ERAB.NbrAttMod</t>
  </si>
  <si>
    <t>E-RAB修改请求数</t>
  </si>
  <si>
    <t xml:space="preserve">统计E-RAB修改请求的E-RAB个数，应该按业务类型分类统计。</t>
  </si>
  <si>
    <t xml:space="preserve">eNB接收到MME发送的“E-RAB修改请求”（E-RAB MODIFY REQUEST）消息。每个业务类型对应一个子测量项。（3GPP TS 36.413）</t>
  </si>
  <si>
    <t>ERAB.NbrAttMod._Qci</t>
  </si>
  <si>
    <t>分QCI的E-RAB修改请求数</t>
  </si>
  <si>
    <t>ENBHB09</t>
  </si>
  <si>
    <t>ERAB.NbrSuccMod</t>
  </si>
  <si>
    <t>E-RAB修改成功数</t>
  </si>
  <si>
    <t xml:space="preserve">统计E-RAB修改成功个数，应该按业务类型分类统计。</t>
  </si>
  <si>
    <t xml:space="preserve">eNB向MME发送“E-RAB修改响应”（E-RAB MODIFY RESPONSE）消息。以目标业务类型(QCI)为统计对象，每个业务类型对应一个子测量项。（3GPP TS 36.413）</t>
  </si>
  <si>
    <t>ERAB.NbrSuccMod._Qci</t>
  </si>
  <si>
    <t>分QCI的E-RAB修改成功数</t>
  </si>
  <si>
    <t>ENBHB10</t>
  </si>
  <si>
    <t>ERAB.NbrFailMod</t>
  </si>
  <si>
    <t>E-RAB修改失败数</t>
  </si>
  <si>
    <t xml:space="preserve">统计E-RAB修改失败个数，应该按失败原因分类统计。</t>
  </si>
  <si>
    <t xml:space="preserve">eNB向MME发送“E-RAB修改响应”（E-RAB MODIFY RESPONSE）消息，指示E-RAB修改失败的个数，每个原因对应一个子测量项。（3GPP TS 36.413）</t>
  </si>
  <si>
    <t>ERAB.NbrFailMod._Cause</t>
  </si>
  <si>
    <t>分原因的E-RAB修改失败数</t>
  </si>
  <si>
    <t>ENBHB11</t>
  </si>
  <si>
    <t>ERAB.NbrReqRelEnb</t>
  </si>
  <si>
    <t>eNB请求释放的E-RAB数</t>
  </si>
  <si>
    <t>统计eNB请求释放的E-RAB个数</t>
  </si>
  <si>
    <t>eNB向MME发送“E-RAB释放指示”（E-RAB RELEASE INDICATION）或“UE上下文释放请求(UE CONTEXT RELEASE REQUEST)”消息或S1AP Reset消息，消息中含有要求释放的E-RAB个数，每个原因对应一个子测量项。其中，E-RAB正常释放的原因包括：User Inactivity, CS Fallback triggered, Inter-RAT Redirection、UE Not Available for PS Service、Redirection towards 1xRTT。（3GPP TS 36.413）</t>
  </si>
  <si>
    <t>ERAB.NbrReqRelEnb.eMTC</t>
  </si>
  <si>
    <t>eMTC终端eNB请求释放的E-RAB数</t>
  </si>
  <si>
    <t>统计eMTC终端eNB请求释放的E-RAB数</t>
  </si>
  <si>
    <t>ERAB.NbrReqRelEnb.CauseUserInactivity</t>
  </si>
  <si>
    <t>用户不活动原因eNB请求释放的E-RAB数</t>
  </si>
  <si>
    <t>统计用户不活动原因eNB请求释放的E-RAB个数</t>
  </si>
  <si>
    <t>ERAB.NbrReqRelEnb._Cause</t>
  </si>
  <si>
    <t>分原因的eNB请求释放的E-RAB数</t>
  </si>
  <si>
    <t>按释放原因分类统计eNB请求释放的E-RAB个数</t>
  </si>
  <si>
    <t>ERAB.NbrReqRelEnb._Qci</t>
  </si>
  <si>
    <t>分QCI的eNB请求释放的E-RAB数</t>
  </si>
  <si>
    <t>按QCI分类统计eNB请求释放的E-RAB个数</t>
  </si>
  <si>
    <t>ERAB.NbrReqRelEnb._Qci._Cause</t>
  </si>
  <si>
    <t>分QCI分原因的eNB请求释放的E-RAB数</t>
  </si>
  <si>
    <t>按QCI按释放原因分类统计eNB请求释放的E-RAB个数</t>
  </si>
  <si>
    <t>ERAB.NbrReqRelEnb.Normal</t>
  </si>
  <si>
    <t>正常的eNB请求释放的E-RAB数</t>
  </si>
  <si>
    <t>统计eNB请求正常释放的E-RAB个数</t>
  </si>
  <si>
    <t>ERAB.NbrReqRelEnb.Normal.eMTC</t>
  </si>
  <si>
    <t>eMTC终端正常的eNB请求释放的E-RAB数</t>
  </si>
  <si>
    <t>ERAB.NbrReqRelEnb.Normal._Qci</t>
  </si>
  <si>
    <t>分QCI的正常的eNB请求释放的E-RAB数</t>
  </si>
  <si>
    <t>分业务类型（QCI）分类统计eNB请求正常释放的E-RAB数</t>
  </si>
  <si>
    <t>ENBHB12</t>
  </si>
  <si>
    <t>ERAB.HoFail</t>
  </si>
  <si>
    <t>切出失败的E-RAB数</t>
  </si>
  <si>
    <t>统计切出过程中，未能切换的E-RAB数，并按QCI分类进行统计。由于eNB内的切换属内部流程，无法约定触发点，因此不统计在内。</t>
  </si>
  <si>
    <t>（1）对于基于S1接口的成功切换，统计MME发给eNB的Handover Command消息中包括的E-RABs to Release List IE 中的E-RAB个数。（3GPP TS 36.413）
（2）对于基于X2接口的成功切换，target eNB发给Source eNB的Handover Request ACK消息中的E-RABs Not Admitted List IE 中的E-RAB数（3GPP TS 36.423）
注：在网络开启Multiple HO功能时，只统计被选中的目标小区对应的Handover Command和Handover Request ACK消息。</t>
  </si>
  <si>
    <t>ERAB.HoFail.eMTC</t>
  </si>
  <si>
    <t>eMTC终端正切出失败的E-RAB数</t>
  </si>
  <si>
    <t>ERAB.HoFail._Qci</t>
  </si>
  <si>
    <t>分QCI的切出失败的E-RAB数</t>
  </si>
  <si>
    <t>ENBHB13</t>
  </si>
  <si>
    <t>ERAB.NbrReqRelMmeInitNoHo</t>
  </si>
  <si>
    <t>MME释放的E-RAB数</t>
  </si>
  <si>
    <t xml:space="preserve">统计MME发起的要求释放的E-RAB个数，不含成功切换引起的释放，应该根据业务类型分类统计。</t>
  </si>
  <si>
    <t xml:space="preserve">eNB收到MME发送的“E-RAB释放命令”（E-RAB RELEASE COMMAND）或“UE上下文释放命令”(UE CONTEXT RELEASE COMMAND)或S1AP Reset消息，且释放原因非成功切换(Successful Handover)时进行统计，统计消息中包含有或对应要求释放的E-RAB个数，每个业务类型对应一个子测量项。（3GPP TS 36.413）</t>
  </si>
  <si>
    <t>ERAB.NbrReqRelMmeInitNoHo.eMTC</t>
  </si>
  <si>
    <t>eMTC终端MME释放的E-RAB数</t>
  </si>
  <si>
    <t>ERAB.NbrReqRelMmeInitNoHo._Qci</t>
  </si>
  <si>
    <t>分QCI的MME释放的E-RAB数</t>
  </si>
  <si>
    <t>ENBHB14</t>
  </si>
  <si>
    <t>ERAB.NbrReqRelEnbByHo</t>
  </si>
  <si>
    <t>成功切换释放的E-RAB数</t>
  </si>
  <si>
    <t xml:space="preserve">统计由成功切换引起的要求释放的E-RAB个数，应该根据业务类型(QCI)分类统计。</t>
  </si>
  <si>
    <t xml:space="preserve">eNB收到MME发送的“E-RAB释放命令”（E-RAB RELEASE COMMAND）或“UE上下文释放命令”(UE CONTEXT RELEASE COMMAND)或S1AP Reset消息，且释放原因为成功切换(Successful Handover)，或eNB收到目标eNB发来的UE CONTEXT RELEASE消息，统计消息中包含或对应要求释放的E-RAB个数，每个业务类型对应一个子测量项。（3GPP TS 36.413）</t>
  </si>
  <si>
    <t>ERAB.NbrReqRelEnbByHo.eMTC</t>
  </si>
  <si>
    <t>eMTC终端成功切换释放的E-RAB数</t>
  </si>
  <si>
    <t>ERAB.NbrReqRelEnbByHo._Qci</t>
  </si>
  <si>
    <t>分QCI的成功切换释放的E-RAB数</t>
  </si>
  <si>
    <t>ENBHB15</t>
  </si>
  <si>
    <t>ERAB.NbrLeft</t>
  </si>
  <si>
    <t>遗留E-RAB个数</t>
  </si>
  <si>
    <t xml:space="preserve">统计本采集周期结束时已经存在的按业务类型分类E-RAB个数。</t>
  </si>
  <si>
    <t xml:space="preserve">当采集周期结束时，测量当前小区已经存在的E-RAB个数，并分业务类型（QCI）分别统计。（3GPP TS 36.413）</t>
  </si>
  <si>
    <t xml:space="preserve">Gauge</t>
  </si>
  <si>
    <t>ERAB.NbrLeft.eMTC</t>
  </si>
  <si>
    <t>eMTC终端遗留E-RAB个数</t>
  </si>
  <si>
    <t>ERAB.NbrLeft._Qci</t>
  </si>
  <si>
    <t>分QCI的遗留E-RAB个数</t>
  </si>
  <si>
    <t>ENBHB16</t>
  </si>
  <si>
    <t>ERAB.ActiveMeanNbrDL</t>
  </si>
  <si>
    <t>下行平均激活E-RAB数</t>
  </si>
  <si>
    <t>在采样时刻统计下行激活E-RAB个数，下行激活E-RAB指其DRB在MAC、RLC或PDCP层有下行缓存数据。在统计周期末，计算采样值的平均值。每个QCI类型对应一个子测量项。采样间隔不超过0.1秒。（参考3GPP TS36.314中激活UE数定义，但统计粒度为E-RAB）</t>
  </si>
  <si>
    <t>ERAB.ActiveMeanNbrDL._Qci</t>
  </si>
  <si>
    <t>分QCI的下行平均激活E-RAB数</t>
  </si>
  <si>
    <t>ENBHB17</t>
  </si>
  <si>
    <t>ERAB.ActiveMaxNbrDL</t>
  </si>
  <si>
    <t>下行最大激活E-RAB数</t>
  </si>
  <si>
    <t>在采样时刻统计下行激活E-RAB个数，下行激活E-RAB指其DRB在MAC、RLC或PDCP层有下行缓存数据。在统计周期末，取采样值的最大值。每个QCI类型对应一个子测量项。采样间隔不超过0.1秒。（参考3GPP TS36.314中激活UE数定义，但统计粒度为E-RAB）</t>
  </si>
  <si>
    <t>ERAB.ActiveMaxNbrDL._Qci</t>
  </si>
  <si>
    <t>分QCI的下行最大激活E-RAB数</t>
  </si>
  <si>
    <t>ENBHB18</t>
  </si>
  <si>
    <t>ERAB.ActiveMeanNbrUL</t>
  </si>
  <si>
    <t>上行平均激活E-RAB数</t>
  </si>
  <si>
    <t>在采样时刻统计上行激活E-RAB个数，上行激活E-RAB指其DRB在MAC、RLC或PDCP层有上行缓存数据。在统计周期末，计算采样值的平均值。每个QCI类型对应一个子测量项。采样间隔不超过0.1秒。（参考3GPP TS36.314中激活UE数定义，但统计粒度为E-RAB）</t>
  </si>
  <si>
    <t>ERAB.ActiveMeanNbrUL._Qci</t>
  </si>
  <si>
    <t>分QCI的上行平均激活E-RAB数</t>
  </si>
  <si>
    <t>ENBHB19</t>
  </si>
  <si>
    <t>ERAB.ActiveMaxNbrUL</t>
  </si>
  <si>
    <t>上行最大激活E-RAB数</t>
  </si>
  <si>
    <t>在采样时刻统计上行激活E-RAB个数，上行激活E-RAB指其DRB在MAC、RLC或PDCP层有上行缓存数据。在统计周期末，取采样值的最大值。每个QCI类型对应一个子测量项。采样间隔不超过0.1秒。（参考3GPP TS36.314中激活UE数定义，但统计粒度为E-RAB）</t>
  </si>
  <si>
    <t>ERAB.ActiveMaxNbrUL._Qci</t>
  </si>
  <si>
    <t>分QCI的上行最大激活E-RAB数</t>
  </si>
  <si>
    <t>ENBHB20</t>
  </si>
  <si>
    <t>ERAB.RelActNbr</t>
  </si>
  <si>
    <t>激活E-RAB释放个数</t>
  </si>
  <si>
    <t>统计释放的激活ERAB个数，也就是释放时上行或下行队列中有用户数据的ERAB个数。（参考3GPP TS36.425）</t>
  </si>
  <si>
    <t>eNB发起释放ERAB时，采样点为eNB发送的“E-RAB RELEASE INDICATION”消息；MME发起ERAB释放时，MME发送“E-RAB RELEASE COMMAND”消息原因不为“Normal Release”，采样点为eNB发送的“E-RAB RELEASE RESPONSE”消息；eNB发起UE上下文释放时，eNB发送“UE CONTEXT RELEASE REQUEST”消息原因不为“User inactivity”、“CSG Subscription Expiry”、“CS Fallback triggered”、“UE Not Available for PS Service”、“Redirection towards 1xRTT”、“Inter-RAT Redirection”，采样点为eNB发送的“UE CONTEXT RELEASE COMPLETE”消息；MME发起UE上下文释放时，MME发送“UE CONTEXT RELEASE COMMAND”消息原因不为“Normal Release”、“detach”“Handover Cancelled”、“Redirection towards 1xRTT”、“Successful Handover”、“Inter-RAT Redirection”、“S1 Intra system Handover triggered”，采样点为eNB发送的“UE CONTEXT RELEASE COMPLETE”消息；切换时，采样点为eNB收到“PATH SWITCH REQUEST ACKNOWLEDGE”和“PATH SWITCH REQUEST FAILED”消息；重置时，采样点为eNB发送和接收的“RESET ACKNOWLEDGE”消息。</t>
  </si>
  <si>
    <t>ERAB.RelActNbr._Qci</t>
  </si>
  <si>
    <t>分QCI的激活E-RAB释放个数</t>
  </si>
  <si>
    <t>ENBHB21</t>
  </si>
  <si>
    <t>ERAB.NbrAttInitEstab</t>
  </si>
  <si>
    <t>初始E-RAB建立请求数</t>
  </si>
  <si>
    <t xml:space="preserve">统计初始请求建立的E-RAB个数，并该按业务类型分类统计。</t>
  </si>
  <si>
    <t>eNB接收到MME发来的“初始上下文建立请求消息”（INITIAL CONTEXT SETUP REQUEST），消息中包含的E-RAB个数。每个业务类型对应一个子测量项。（3GPP TS 36.413）。</t>
  </si>
  <si>
    <t>ERAB.NbrAttInitEstab._Qci</t>
  </si>
  <si>
    <t>分QCI的初始E-RAB建立请求数</t>
  </si>
  <si>
    <t>ENBHB22</t>
  </si>
  <si>
    <t>ERAB.NbrSuccInitEstab</t>
  </si>
  <si>
    <t>初始E-RAB建立成功数</t>
  </si>
  <si>
    <t xml:space="preserve">统计初始E-RAB建立成功个数，并该按业务类型分类统计。</t>
  </si>
  <si>
    <t xml:space="preserve">eNB向MME发送“初始上下文建立响应”（INITIAL CONTEXT SETUP RESPONSE），消息中成功建立的E-RAB个数。每个业务类型对应一个子测量项。（3GPP TS 36.413）</t>
  </si>
  <si>
    <t>ERAB.NbrSuccInitEstab._Qci</t>
  </si>
  <si>
    <t>分QCI的初始E-RAB建立成功数</t>
  </si>
  <si>
    <t>ENBHB23</t>
  </si>
  <si>
    <t>ERAB.NbrMaxEstab</t>
  </si>
  <si>
    <t>最大E-RAB数</t>
  </si>
  <si>
    <t xml:space="preserve">统计小区内同时存在的E-RAB最大个数。</t>
  </si>
  <si>
    <t>此测量参数通过预先设定测量时间间隔采样（目前固定为1秒间隔），得到给定小区同时存在的E-RAB数量，然后取最大值。</t>
  </si>
  <si>
    <t>ERAB.NbrMaxEstab.eMTC</t>
  </si>
  <si>
    <t>eMTC终端最大E-RAB数</t>
  </si>
  <si>
    <t>ERAB.NbrMaxEstab._Qci</t>
  </si>
  <si>
    <t>每QCI最大E-RAB数</t>
  </si>
  <si>
    <t>ENBHC01</t>
  </si>
  <si>
    <t>CONTEXT.AttInitalSetup</t>
  </si>
  <si>
    <t>初始上下文建立请求次数</t>
  </si>
  <si>
    <t xml:space="preserve">统计初始上下文建立请求次数。</t>
  </si>
  <si>
    <t xml:space="preserve">eNB接收到MME发送的“初始上下文建立请求”（INITIAL CONTEXT SETUP REQUEST）消息。（3GPP TS 36.413）</t>
  </si>
  <si>
    <t xml:space="preserve">CS Fallback Indicator 的定义为:ENUMERATED(CS Fallback required, … ,
CS Fallback High Priority)。统计CSFB触发的次数，可以用“initial Context Setup Request（HC01） + Ue context Modification Request（HC04）”，上述两条消息都携带IE为“Cs Fallback”。
</t>
  </si>
  <si>
    <t>CONTEXT.AttInitalSetup.Csfb</t>
  </si>
  <si>
    <t>CSFB初始上下文建立请求次数</t>
  </si>
  <si>
    <t>统计CSFB触发的上下文建立次数</t>
  </si>
  <si>
    <t>eNB接收到MME发送的“初始上下文建立请求”（INITIAL CONTEXT SETUP REQUEST）消息,并携带CS Fallback Indicator 请求CS业务.
。（3GPP TS 36.413）</t>
  </si>
  <si>
    <t>ENBHC02</t>
  </si>
  <si>
    <t>CONTEXT.SuccInitalSetup</t>
  </si>
  <si>
    <t>初始上下文建立成功次数</t>
  </si>
  <si>
    <t xml:space="preserve">统计初始上下文建立成功次数。</t>
  </si>
  <si>
    <t xml:space="preserve">eNB向MME发送“初始上下文建立响应”（INITIAL CONTEXT SETUP RESPONSE）消息。（3GPP TS 36.413）</t>
  </si>
  <si>
    <t>CONTEXT.SuccInitalSetup.Csfb</t>
  </si>
  <si>
    <t>CSFB初始上下文建立成功次数</t>
  </si>
  <si>
    <t>统计CSFB触发的初始上下文建立成功次数</t>
  </si>
  <si>
    <t>ENBHC03</t>
  </si>
  <si>
    <t>CONTEXT.FailInitalSetup</t>
  </si>
  <si>
    <t>初始上下文建立失败次数</t>
  </si>
  <si>
    <t xml:space="preserve">统计初始上下文建立失败次数，应该按失败原因分类统计。</t>
  </si>
  <si>
    <t xml:space="preserve">eNB向MME发送“初始上下文建立失败”（INITIAL CONTEXT SETUP FAILURE）消息，或定时器超时，指示初始上下文建立失败，每个原因对应一个子测量项。（3GPP TS 36.413）</t>
  </si>
  <si>
    <t>CONTEXT.FailInitalSetup._Cause</t>
  </si>
  <si>
    <t>分原因的初始上下文建立失败次数</t>
  </si>
  <si>
    <t>ENBHC04</t>
  </si>
  <si>
    <t>CONTEXT.AttMod</t>
  </si>
  <si>
    <t>上下文修改请求次数</t>
  </si>
  <si>
    <t xml:space="preserve">统计MME发起的请求修改上下文次数。</t>
  </si>
  <si>
    <t xml:space="preserve">eNB收到MME发送的“UE 上下文修改请求”（UE CONTEXT MODIFICATION REQUEST）消息（3GPP TS 36.413）。</t>
  </si>
  <si>
    <t>CS Fallback Indicator 的定义为:ENUMERATED(CS Fallback required, … ,
CS Fallback High Priority)。统计CSFB触发的次数，可以用“initial Context Setup Request（HC01） + Ue context Modification Request（HC04）”，上述两条消息都携带IE为“Cs Fallback”。</t>
  </si>
  <si>
    <t>CONTEXT.AttMod.Csfb</t>
  </si>
  <si>
    <t>CSFB上下文修改请求次数</t>
  </si>
  <si>
    <t>统计CSFB触发的上下文修改次数</t>
  </si>
  <si>
    <t xml:space="preserve">eNB收到MME发送的“UE 上下文修改请求”（UE CONTEXT MODIFICATION REQUEST）消息,并携带CS Fallback Indicator 请求CS业务.（3GPP TS 36.413）。</t>
  </si>
  <si>
    <t>ENBHC05</t>
  </si>
  <si>
    <t>CONTEXT.SuccMod</t>
  </si>
  <si>
    <t>上下文修改成功次数</t>
  </si>
  <si>
    <t xml:space="preserve">统计MME发起的上下文修改成功次数。</t>
  </si>
  <si>
    <t xml:space="preserve">eNB向MME发送“UE 上下文修改响应”（UE CONTEXT MODIFICATION RESPONSE）消息。（3GPP TS 36.413）</t>
  </si>
  <si>
    <t>CONTEXT.SuccMod.Csfb</t>
  </si>
  <si>
    <t>CSFB上下文修改成功次数</t>
  </si>
  <si>
    <t>统计CSFB触发的的上下文修改成功次数</t>
  </si>
  <si>
    <t>ENBHC06</t>
  </si>
  <si>
    <t>CONTEXT.FailMod</t>
  </si>
  <si>
    <t>上下文修改失败次数</t>
  </si>
  <si>
    <t xml:space="preserve">统计MME发起的上下文修改失败次数。</t>
  </si>
  <si>
    <t xml:space="preserve">eNB向MME发送“UE 上下文修改失败”（UE CONTEXT MODIFICATION FAILURE）消息，或定时器超时，指示上下文修改失败。（3GPP TS 36.413）</t>
  </si>
  <si>
    <t>ENBHC07</t>
  </si>
  <si>
    <t>CONTEXT.AttRelEnb</t>
  </si>
  <si>
    <t>eNB请求释放上下文数</t>
  </si>
  <si>
    <t xml:space="preserve">统计eNB发起的请求释放上下文个数，并应该按释放原因分类统计。</t>
  </si>
  <si>
    <t>eNB向MME发送“UE 上下文释放请求”（UE CONTEXT RELEASE REQUEST）消息或者S1 Reset消息中包含的上下文个数，每个原因对应一个子测量项，其中正常释放的原因包括：User Inactivity, CS Fallback triggered, Inter-RAT Redirection、UE Not Available for PS Service、Redirection towards 1xRTT。（3GPP TS 36.413）
注：eNB等待INITIAL CONTEXT SETUP REQUEST消息超时，随后eNB发起的UE CONTEXT RELEASE REQUEST消息不统计。</t>
  </si>
  <si>
    <t>CONTEXT.AttRelEnb.CauseUserInactivity</t>
  </si>
  <si>
    <t>用户不活动原因eNB请求释放上下文数</t>
  </si>
  <si>
    <t>CONTEXT.AttRelEnb._Cause</t>
  </si>
  <si>
    <t>分原因的eNB请求释放上下文数</t>
  </si>
  <si>
    <t>CONTEXT.AttRelEnb.Normal</t>
  </si>
  <si>
    <t>正常的eNB请求释放上下文数</t>
  </si>
  <si>
    <t>ENBHC08</t>
  </si>
  <si>
    <t>CONTEXT.AttRelMme</t>
  </si>
  <si>
    <t>MME请求释放上下文数</t>
  </si>
  <si>
    <t xml:space="preserve">统计MME发起的要求释放上下文个数，并应该按释放原因分类统计。</t>
  </si>
  <si>
    <t xml:space="preserve">eNB收到MME发送的“UE 上下文释放命令”（UE CONTEXT RELEASE COMMAND）消息或者S1 Reset消息中包含的上下文个数，每个原因对应一个子测量项。（3GPP TS 36.413）</t>
  </si>
  <si>
    <t>CONTEXT.AttRelMme._Cause</t>
  </si>
  <si>
    <t>分原因的MME请求释放上下数</t>
  </si>
  <si>
    <t>ENBHC09</t>
  </si>
  <si>
    <t>CONTEXT.NbrLeft</t>
  </si>
  <si>
    <t>遗留上下文个数</t>
  </si>
  <si>
    <t xml:space="preserve">统计本采集周期结束时已经存在UE CONTEXT个数。
</t>
  </si>
  <si>
    <t xml:space="preserve">当采集周期结束时，测量当前小区已经存在的UE CONTEXT个数。（3GPP TS 36.413）</t>
  </si>
  <si>
    <t>ENBHD01</t>
  </si>
  <si>
    <t>HO.AttOutInterEnbS1</t>
  </si>
  <si>
    <t>eNB间S1切换出请求次数</t>
  </si>
  <si>
    <t>统计eNB间S1接口的切换出请求次数。单独统计QCI=1和2的次数。</t>
  </si>
  <si>
    <t xml:space="preserve">源eNB向MME发送的“切换请求”消息（HANDOVER REQUIRED）（3GPP TS 36.413），指示eNB间通过S1接口的切换出准备请求。向不同小区发送的同一切换准备请求，需要重复统计。</t>
  </si>
  <si>
    <t>HO.AttOutInterEnbS1.eMTC</t>
  </si>
  <si>
    <t>eMTC终端eNB间S1切换出请求次数</t>
  </si>
  <si>
    <t>HO.AttOutInterEnbS1.1</t>
  </si>
  <si>
    <t>VoLTE用户eNB间S1切换出请求次数</t>
  </si>
  <si>
    <t>HO.AttOutInterEnbS1.2</t>
  </si>
  <si>
    <t>QCI2承载eNB间S1切换出请求次数</t>
  </si>
  <si>
    <t>ENBHD02</t>
  </si>
  <si>
    <t>HO.SuccOutPrepInterEnbS1</t>
  </si>
  <si>
    <t>eNB间S1切换出准备成功次数</t>
  </si>
  <si>
    <t>统计eNB间通过S1接口的切换出准备成功次数。单独统计QCI=1的次数。</t>
  </si>
  <si>
    <t xml:space="preserve">源eNB收到MME发送的“切换命令”消息（HANDOVER COMMAND）（3GPP TS 36.413），指示eNB间S1接口切换出准备成功。 </t>
  </si>
  <si>
    <t>HO.SuccOutPrepInterEnbS1.eMTC</t>
  </si>
  <si>
    <t>eMTC终端eNB间S1切换出准备成功次数</t>
  </si>
  <si>
    <t>HO.SuccOutPrepInterEnbS1.1</t>
  </si>
  <si>
    <t>VoLTE用户eNB间S1切换出准备成功次数</t>
  </si>
  <si>
    <t xml:space="preserve">统计eNB间通过S1接口的切换出准备成功次数。</t>
  </si>
  <si>
    <t>ENBHD03</t>
  </si>
  <si>
    <t>HO.AttOutExecInterEnbS1</t>
  </si>
  <si>
    <t>eNB间S1切换出执行请求次数</t>
  </si>
  <si>
    <t>统计eNB间通过S1接口的切换出执行请求次数。单独统计QCI=1的次数。</t>
  </si>
  <si>
    <t xml:space="preserve">eNB向UE发送携带mobilityControlInfo 的“RRC连接重配置”消息（RRC Connection Reconfiguration），表示eNB间S1切换出执行请求。（3GPP TS 36.331）</t>
  </si>
  <si>
    <t>HO.AttOutExecInterEnbS1.eMTC</t>
  </si>
  <si>
    <t>eMTC终端eNB间S1切换出执行请求次数</t>
  </si>
  <si>
    <t>HO.AttOutExecInterEnbS1.1</t>
  </si>
  <si>
    <t>VoLTE用户eNB间S1切换出执行请求次数</t>
  </si>
  <si>
    <t xml:space="preserve">统计eNB间通过S1接口的切换出执行请求次数。</t>
  </si>
  <si>
    <t>ENBHD04</t>
  </si>
  <si>
    <t>HO.SuccOutInterEnbS1</t>
  </si>
  <si>
    <t>eNB间S1切换出成功次数</t>
  </si>
  <si>
    <t>统计eNB间通过S1接口的切换出的完成阶段成功结束的次数。
单独统计QCI=1和2的次数。</t>
  </si>
  <si>
    <t xml:space="preserve">源eNB收到MME发送的“UE上下文释放命令”消息（UE CONTEXT RELEASE COMMAND）（3GPP TS 36.413），指示eNB间通过S1接口的切换出执行成功。</t>
  </si>
  <si>
    <t>HO.SuccOutInterEnbS1.eMTC</t>
  </si>
  <si>
    <t>eMTC终端eNB间S1切换出成功次数</t>
  </si>
  <si>
    <t>HO.SuccOutInterEnbS1.1</t>
  </si>
  <si>
    <t>VoLTE用户eNB间S1切换出成功次数</t>
  </si>
  <si>
    <t>HO.SuccOutInterEnbS1.2</t>
  </si>
  <si>
    <t>QCI2承载eNB间S1切换出成功次数</t>
  </si>
  <si>
    <t xml:space="preserve">统计eNB间通过S1接口的切换出的完成阶段成功结束的次数。</t>
  </si>
  <si>
    <t>ENBHD05</t>
  </si>
  <si>
    <t>HO.AvgTimeInterEnbS1</t>
  </si>
  <si>
    <t>eNB间S1切换平均时长</t>
  </si>
  <si>
    <t>统计eNB间通过S1接口的切换的平均时长。</t>
  </si>
  <si>
    <t>取成功的eNB间S1切换的切换时长的平均值。切换时长等于源eNB向MME发送的“切换请求”消息（HANDOVER REQUIRED）（3GPP TS 36.413）与源eNB收到MME发送的“UE上下文释放命令”消息（UE CONTEXT RELEASE COMMAND）之间的时间间隔。</t>
  </si>
  <si>
    <t>DER(n=1)</t>
  </si>
  <si>
    <t>ms</t>
  </si>
  <si>
    <t>无成功切换时此值报“-”（英文减号）</t>
  </si>
  <si>
    <t>ENBHD06</t>
  </si>
  <si>
    <t>HO.CancelOutInterEnbS1</t>
  </si>
  <si>
    <t>eNB间S1切换出取消次数</t>
  </si>
  <si>
    <t>统计eNb间通过S1接口的切换，发出请求后又取消的次数。
单独统计QCI=1的次数。</t>
  </si>
  <si>
    <t>源eNB向MME发送“切换取消”（Handover Cancel）（3GPP TS 36.413)，指示切换取消。</t>
  </si>
  <si>
    <t>HO.CancelOutInterEnbS1.eMTC</t>
  </si>
  <si>
    <t>eMTC终端eNB间S1切换出取消次数</t>
  </si>
  <si>
    <t>HO.CancelOutInterEnbS1.1</t>
  </si>
  <si>
    <t>VoLTE用户eNB间S1切换出取消次数</t>
  </si>
  <si>
    <t>统计eNb间通过S1接口的切换，发出请求后又取消的次数。</t>
  </si>
  <si>
    <t>ENBHD07</t>
  </si>
  <si>
    <t>HO.AttOutInterEnbX2</t>
  </si>
  <si>
    <t>eNB间X2切换出请求次数</t>
  </si>
  <si>
    <t>统计eNB间通过X2接口的切换出请求次数。
单独统计QCI=1和2的次数。</t>
  </si>
  <si>
    <t xml:space="preserve">源eNB向目标eNB发送的“切换请求”消息（HANDOVER REQUEST）（3GPP TS 36.423），指示eNB间通过X2接口的切换出准备请求。向不同小区发送的同一切换准备请求，重复统计。</t>
  </si>
  <si>
    <t>HO.AttOutInterEnbX2.eMTC</t>
  </si>
  <si>
    <t>eMTC终端eNB间X2切换出请求次数</t>
  </si>
  <si>
    <t>HO.AttOutInterEnbX2.1</t>
  </si>
  <si>
    <t>VoLTE用户eNB间X2切换出请求次数</t>
  </si>
  <si>
    <t>HO.AttOutInterEnbX2.2</t>
  </si>
  <si>
    <t>QCI2承载eNB间X2切换出请求次数</t>
  </si>
  <si>
    <t>统计eNB间通过X2接口的切换出请求次数。
单独统计QCI=1的次数。</t>
  </si>
  <si>
    <t>ENBHD08</t>
  </si>
  <si>
    <t>HO.SuccOutPrepInterEnbX2</t>
  </si>
  <si>
    <t>eNB间X2切换出准备成功次数</t>
  </si>
  <si>
    <t>统计eNB间通过X2接口的切换出准备成功次数。
单独统计QCI=1的次数。</t>
  </si>
  <si>
    <t xml:space="preserve">源eNB收到目标eNB发送的“切换请求确认”消息（HANDOVER REQUEST ACKNOWLEDGE）（3GPP TS 36.423），指示eNB间X2切换出准备成功。 </t>
  </si>
  <si>
    <t>HO.SuccOutPrepInterEnbX2.eMTC</t>
  </si>
  <si>
    <t>eMTC终端eNB间X2切换出准备成功次数</t>
  </si>
  <si>
    <t>HO.SuccOutPrepInterEnbX2.1</t>
  </si>
  <si>
    <t>VoLTE用户eNB间X2切换出准备成功次数</t>
  </si>
  <si>
    <t>统计eNB间通过X2接口的切换出准备成功次数。
单独统计QCI=1的次数。</t>
  </si>
  <si>
    <t>ENBHD09</t>
  </si>
  <si>
    <t>HO.AttOutExecInterEnbX2</t>
  </si>
  <si>
    <t>eNB间X2切换出执行请求次数</t>
  </si>
  <si>
    <t>统计eNB间通过X2接口的切换出执行请求次数。
单独统计QCI=1的次数。</t>
  </si>
  <si>
    <t xml:space="preserve">eNB向UE发送携带mobilityControlInfo 的“RRC连接重配置”消息（RRCConnectionReconfiguration），表示eNB间X2切换出执行请求。（3GPP TS 36.331）</t>
  </si>
  <si>
    <t>HO.AttOutExecInterEnbX2.eMTC</t>
  </si>
  <si>
    <t>eMTC终端eNB间X2切换出执行请求次数</t>
  </si>
  <si>
    <t>HO.AttOutExecInterEnbX2.1</t>
  </si>
  <si>
    <t>VoLTE用户eNB间X2切换出执行请求次数</t>
  </si>
  <si>
    <t>ENBHD10</t>
  </si>
  <si>
    <t>HO.SuccOutInterEnbX2</t>
  </si>
  <si>
    <t>eNB间X2切换出成功次数</t>
  </si>
  <si>
    <t>统计eNB间通过X2接口的切换出完成过程成功结束的次数。
单独统计QCI=1和2的次数。</t>
  </si>
  <si>
    <t xml:space="preserve">源eNB收到目标eNB发送的“UE上下文释放”消息（UE CONTEXT RELEASE）（3GPP TS 36.423），指示eNB间通过X2接口的切换出执行成功。</t>
  </si>
  <si>
    <t>HO.SuccOutInterEnbX2.eMTC</t>
  </si>
  <si>
    <t>eMTC终端eNB间X2切换出成功次数</t>
  </si>
  <si>
    <t>HO.SuccOutInterEnbX2.1</t>
  </si>
  <si>
    <t>VoLTE用户eNB间X2切换出成功次数</t>
  </si>
  <si>
    <t>HO.SuccOutInterEnbX2.2</t>
  </si>
  <si>
    <t>QCI2承载eNB间X2切换出成功次数</t>
  </si>
  <si>
    <t>统计eNB间通过X2接口的切换出完成过程成功结束的次数。
单独统计QCI=1的次数。</t>
  </si>
  <si>
    <t>ENBHD11</t>
  </si>
  <si>
    <t>HO.AvgTimeInterEnbX2</t>
  </si>
  <si>
    <t>eNB间X2切换平均时长</t>
  </si>
  <si>
    <t>统计eNB间通过X2接口的切换的平均时长。</t>
  </si>
  <si>
    <t>取成功的eNB间X2切换的切换时长的平均值。切换时长等于源eNB向目标eNB发送的“切换请求”消息（HANDOVER REQUEST）（3GPP TS 36.423）与源eNB收到目标eNB发送的“UE上下文释放”消息（UE CONTEXT RELEASE）（3GPP TS 36.423）之间的时间间隔。</t>
  </si>
  <si>
    <t>ENBHD12</t>
  </si>
  <si>
    <t>HO.CancelOutInterEnbX2</t>
  </si>
  <si>
    <t>eNB间X2切换出取消次数</t>
  </si>
  <si>
    <t>统计eNb间通过X2接口的切换，发出请求后又取消的次数。
单独统计QCI=1的次数。</t>
  </si>
  <si>
    <t>源eNB向目标eNB发送“切换取消”（Handover Cancel）（3GPP TS 36.423)，指示切换取消。</t>
  </si>
  <si>
    <t>HO.CancelOutInterEnbX2.eMTC</t>
  </si>
  <si>
    <t>eMTC终端eNB间X2切换出取消次数</t>
  </si>
  <si>
    <t>HO.CancelOutInterEnbX2.1</t>
  </si>
  <si>
    <t>VoLTE用户eNB间X2切换出取消次数</t>
  </si>
  <si>
    <t>ENBHD13</t>
  </si>
  <si>
    <t>HO.AttOutIntraEnb</t>
  </si>
  <si>
    <t>eNB内切换出请求次数</t>
  </si>
  <si>
    <t>统计eNB内小区间切换出请求次数。
单独统计QCI=1和2的次数。</t>
  </si>
  <si>
    <t xml:space="preserve">eNB向UE发送携带mobilityControlInfo 的“RRC连接重配置”消息（RRCConnectionReconfiguration），指示eNB内小区间切换出请求。（3GPP TS 36.331）</t>
  </si>
  <si>
    <t>HO.AttOutIntraEnb.eMTC</t>
  </si>
  <si>
    <t>eMTC终端eNB内切换出请求次数</t>
  </si>
  <si>
    <t>HO.AttOutIntraEnb.1</t>
  </si>
  <si>
    <t>VoLTE用户eNB内切换出请求次数</t>
  </si>
  <si>
    <t>HO.AttOutIntraEnb.2</t>
  </si>
  <si>
    <t>QCI2承载eNB内切换出请求次数</t>
  </si>
  <si>
    <t>统计eNB内小区间切换出请求次数。
单独统计QCI=1的次数。</t>
  </si>
  <si>
    <t>ENBHD14</t>
  </si>
  <si>
    <t>HO.SuccOutIntraEnb</t>
  </si>
  <si>
    <t>eNB内切换出成功次数</t>
  </si>
  <si>
    <t>统计eNB内小区间切换出成功次数。
单独统计QCI=1和2的次数。</t>
  </si>
  <si>
    <t xml:space="preserve">eNB收到UE发送的“RRC连接重配置完成”消息（RRCConnectionReconfigurationComplete），指示eNB内小区间切换出成功。（3GPP TS 36.331）</t>
  </si>
  <si>
    <t>HO.SuccOutIntraEnb.eMTC</t>
  </si>
  <si>
    <t>eMTC终端eNB内切换出成功次数</t>
  </si>
  <si>
    <t>HO.SuccOutIntraEnb.1</t>
  </si>
  <si>
    <t>QCI1承载eNB内切换出成功次数</t>
  </si>
  <si>
    <t>HO.SuccOutIntraEnb.2</t>
  </si>
  <si>
    <t>QCI2承载eNB内切换出成功次数</t>
  </si>
  <si>
    <t>统计eNB内小区间切换出成功次数。
单独统计QCI=1的次数。</t>
  </si>
  <si>
    <t>ENBHD15</t>
  </si>
  <si>
    <t>HO.AttOutExecIntraFreq</t>
  </si>
  <si>
    <t>同频切换出执行请求次数</t>
  </si>
  <si>
    <t>统计小区间同频切换出执行请求的次数。
单独统计QCI=1的次数。</t>
  </si>
  <si>
    <t xml:space="preserve">eNB向UE发送携带mobilityControlInfo 的“RRC连接重配置”消息（RRCConnectionReconfiguration），指示小区间同频切换出执行请求。（3GPP TS 36.331）</t>
  </si>
  <si>
    <t>HO.AttOutExecIntraFreq.1</t>
  </si>
  <si>
    <t>VoLTE用户同频切换出执行请求次数</t>
  </si>
  <si>
    <t>ENBHD16</t>
  </si>
  <si>
    <t>HO.SuccOutIntraFreq</t>
  </si>
  <si>
    <t>同频切换出成功次数</t>
  </si>
  <si>
    <t>统计小区间同频切换出执行成功次数。
单独统计QCI=1的次数。</t>
  </si>
  <si>
    <t>(1)eNB内切换：eNB收到UE发送的“RRC连接重配置完成”消息（RRCConnectionReconfigurationComplete）
(2)eNB间切换：eNB收到MME发送的“UE上下文释放命令”消息（UE CONTEXT RELEASE COMMAND, 3GPP TS 36.413）或目标eNB发送的“UE上下文释放”消息（UE CONTEXT RELEASE）（3GPP TS 36.423)</t>
  </si>
  <si>
    <t>HO.SuccOutIntraFreq.1</t>
  </si>
  <si>
    <t>VoLTE用户同频切换出成功次数</t>
  </si>
  <si>
    <t>ENBHD17</t>
  </si>
  <si>
    <t>HO.AttOutExecInterFreq</t>
  </si>
  <si>
    <t>异频切换出执行请求次数</t>
  </si>
  <si>
    <t>统计小区间异频切换出执行请求的次数。
单独统计QCI=1的次数。</t>
  </si>
  <si>
    <t xml:space="preserve">eNB向UE发送携带mobilityControlInfo 的“RRC连接重配置”消息（RRCConnectionReconfiguration），指示小区间异频切换出执行请求。（3GPP TS 36.331）</t>
  </si>
  <si>
    <t>HO.AttOutExecInterFreq.1</t>
  </si>
  <si>
    <t>VoLTE用户异频切换出执行请求次数</t>
  </si>
  <si>
    <t>ENBHD18</t>
  </si>
  <si>
    <t>HO.SuccOutInterFreq</t>
  </si>
  <si>
    <t>异频切换出成功次数</t>
  </si>
  <si>
    <t>统计小区间异频切换出执行成功次数。
单独统计QCI=1的次数。</t>
  </si>
  <si>
    <t>HO.SuccOutInterFreq.1</t>
  </si>
  <si>
    <t>VoLTE用户异频切换出成功次数</t>
  </si>
  <si>
    <t>ENBHD19</t>
  </si>
  <si>
    <t>HO.FailOut</t>
  </si>
  <si>
    <t>切换出失败次数</t>
  </si>
  <si>
    <t>统计切换出失败次数，按原因分别统计。单独统计QCI=1的次数。</t>
  </si>
  <si>
    <t xml:space="preserve">源eNB收到MME发送的“切换准备失败”消息（HANDOVER PREPARATION FAILURE）（3GPP TS 36.413），或源eNB收到目标eNB发送的“切换准备失败”（HANDOVER PREPARATION FAILURE）消息，或eNB收到UE发送的“ RRC连接重建请求”消息（RRCConnectionReestablishmentRequest）（3GPP TS 36.331），或者定时器超时，指示切换出失败，按原因统计。</t>
  </si>
  <si>
    <t>HO.FailOut._Cause</t>
  </si>
  <si>
    <t>分原因的切换出失败次数</t>
  </si>
  <si>
    <t>HO.FailOut.1._Cause</t>
  </si>
  <si>
    <t>QCI=1分原因的切换出失败次数</t>
  </si>
  <si>
    <t>ENBHD20</t>
  </si>
  <si>
    <t>HO.AttPrepInc</t>
  </si>
  <si>
    <t>eNB间切换入请求次数</t>
  </si>
  <si>
    <t xml:space="preserve">统计eNB间切换入请求次数。</t>
  </si>
  <si>
    <t>统计目标eNB收到源eNB发送的“切换请求”消息（HANDOVER REQUEST）个数（3GPP TS 36.423），或目标eNB收到MME发送的“切换请求”消息个数（HANDOVER REQUEST）（3GPP TS 36.413）</t>
  </si>
  <si>
    <t>ENBHD21</t>
  </si>
  <si>
    <t>HO.SuccPrepInc</t>
  </si>
  <si>
    <t>eNB间切换入准备成功次数</t>
  </si>
  <si>
    <t xml:space="preserve">统计eNB间切换入准备成功次数。</t>
  </si>
  <si>
    <t>统计目标eNB向源eNB发送的“切换请求确认”消息个数（HANDOVER REQUEST ACKNOWLEDGE）（3GPP TS 36.423），或目标eNB向MME发送的“切换请求确认”消息个数（HANDOVER REQUEST ACKNOWLEDGE）（3GPP TS 36.413）；</t>
  </si>
  <si>
    <t>ENBHD22</t>
  </si>
  <si>
    <t>HO.FailPrepInc</t>
  </si>
  <si>
    <t>eNB间切换入准备失败次数</t>
  </si>
  <si>
    <t xml:space="preserve">统计切换入准备失败次数，并按原因分类统计。</t>
  </si>
  <si>
    <t>统计目标eNB向源eNB发送的“切换准备失败”消息个数（HANDOVER PREPARATION FAILURE）（3GPP TS 36.423），或目标eNB向MME发送的“切换失败”消息个数（HANDOVER FAILURE）（3GPP TS 36.413）。
注：根据3GPP TS 23.401，即使目标eNB向目标MME返回Handover Request Acknowledge,如果EPS Bearer Setup list IE不包括缺省承载，目标MME也将向源MME发送Forwad Relocation Response(Reject)，切换准备最终是失败的，但目标eNB不能判断出来，因此这种情况未考虑在内。</t>
  </si>
  <si>
    <t>HO.FailPrepInc._Cause</t>
  </si>
  <si>
    <t>分原因的eNB间切换入准备失败次数</t>
  </si>
  <si>
    <t>ENBHD23</t>
  </si>
  <si>
    <t>HO.SuccExecInc</t>
  </si>
  <si>
    <t>切换入成功次数</t>
  </si>
  <si>
    <t xml:space="preserve">统计切换入执行成功次数。</t>
  </si>
  <si>
    <t>统计eNB收到UE发送的RRCConnectionReconfigurationComplete消息次数（eNB内切换），或目标eNB向MME发送HANDOVER NOTIFY或者向源eNodeB发送UE CONTEXT RELEASE的消息（eNB间切换）次数之和.（3GPP TS 36.413）；(包含2G/3G/LTE)</t>
  </si>
  <si>
    <t>ENBHD24</t>
  </si>
  <si>
    <t>HO.AttOut.LB</t>
  </si>
  <si>
    <t>负载原因切换出请求次数</t>
  </si>
  <si>
    <t xml:space="preserve">统计负载均衡原因切换出请求次数。</t>
  </si>
  <si>
    <t xml:space="preserve">基于负载均衡原因，源eNB向目标eNB发送的“切换请求”消息（HANDOVER REQUEST）（3GPP TS 36.423），指示eNB间通过X2接口的切换出准备请求；或基于负载均衡原因，eNB向UE发送携带mobilityControlInfo 的“RRC连接重配置”消息（RRCConnectionReconfiguration），指示eNB内小区间切换出请求（3GPP TS 36.331）。向不同小区发送的同一切换准备请求，重复统计。
</t>
  </si>
  <si>
    <t>CA条件：开启负载均衡功能</t>
  </si>
  <si>
    <t>ENBHD25</t>
  </si>
  <si>
    <t>HO.SuccOut.LB</t>
  </si>
  <si>
    <t>负载原因切换出成功次数</t>
  </si>
  <si>
    <t xml:space="preserve">统计负载均衡原因切换出成功次数。</t>
  </si>
  <si>
    <t xml:space="preserve">基于负载均衡原因，源eNB收到目标eNB发送的“UE上下文释放”消息（UE CONTEXT RELEASE）（3GPP TS 36.423），指示eNB间通过X2接口的切换出执行成功；或基于负载均衡原因，eNB收到UE发送的“RRC连接重配置完成”消息（RRCConnectionReconfigurationComplete），指示eNB内小区间切换出成功（3GPP TS 36.331）。
</t>
  </si>
  <si>
    <t>ENBHD26</t>
  </si>
  <si>
    <t>HO.MeasConfMsg.LB</t>
  </si>
  <si>
    <t>基于负载均衡的测量控制消息个数</t>
  </si>
  <si>
    <t>统计小区下发基于负载均衡的测量控制消息个数。</t>
  </si>
  <si>
    <t xml:space="preserve">统计基于负荷均衡原因eNB向UE发送的RRCConnectionReconfiguration消息中包含MeasureConfig个数（3GPP TS 36.413）
</t>
  </si>
  <si>
    <t>ENBHD27</t>
  </si>
  <si>
    <t>HO.MeasReportMsg.LB</t>
  </si>
  <si>
    <t>基于负载均衡的测量报告个数</t>
  </si>
  <si>
    <t>统计小区收到基于负载均衡的测量报告个数。</t>
  </si>
  <si>
    <t xml:space="preserve">统计基于负荷均衡原因eNB向UE下发测量控制之后收到对应UE发送上来MeasureReport（3GPP TS 36.413）；
</t>
  </si>
  <si>
    <t>ENBHE01</t>
  </si>
  <si>
    <t>IRATHO.AttOutGeran</t>
  </si>
  <si>
    <t>切换至2G请求次数</t>
  </si>
  <si>
    <t xml:space="preserve">统计系统间切换出请求次数（EPS-&gt;GERAN）。</t>
  </si>
  <si>
    <t xml:space="preserve">源eNB向MME发送的“切换请求”消息（HANDOVER REQUIRED），Handover Type IE（LTEtoGERAN）指示系统间（EUTRAN-&gt;GERAN）切换请求。（3GPP TS36.413）</t>
  </si>
  <si>
    <t>在中国移动场景，也就是eSRVCC切换请求次数</t>
  </si>
  <si>
    <t>ENBHE02</t>
  </si>
  <si>
    <t>IRATHO.SuccPrepOutGeran</t>
  </si>
  <si>
    <t>切换至2G准备成功次数</t>
  </si>
  <si>
    <t xml:space="preserve">统计系统间切换出准备成功次数（EPS-&gt; GERAN）。</t>
  </si>
  <si>
    <t xml:space="preserve">源eNB收到MME发送的“切换命令”消息（HANDOVER COMMAND），指示系统间（EUTRAN-&gt; GERAN）切换准备成功。（3GPP TS36.413）</t>
  </si>
  <si>
    <t>在中国移动场景，也就是eSRVCC切换准备成功次数</t>
  </si>
  <si>
    <t>ENBHE03</t>
  </si>
  <si>
    <t>IRATHO.FailPrepOutGeran</t>
  </si>
  <si>
    <t>切换至2G准备失败次数</t>
  </si>
  <si>
    <t xml:space="preserve">统计系统间切换出准备失败次数（EPS-&gt; GERAN），按原因统计。</t>
  </si>
  <si>
    <t xml:space="preserve">源eNB收到MME发送的“切换准备失败”消息（HANDOVER PREPARATION FAILURE），或定时器超时，指示系统间（EUTRAN-&gt; GERAN）切换准备失败，按原因统计。（3GPP TS36.413）</t>
  </si>
  <si>
    <t>在中国移动场景，也就是eSRVCC切换准备失败次数</t>
  </si>
  <si>
    <t>IRATHO.FailPrepOutGeran._Cause</t>
  </si>
  <si>
    <t>分原因的切换至2G准备失败次数</t>
  </si>
  <si>
    <t>ENBHE04</t>
  </si>
  <si>
    <t>IRATHO.SuccOutGeran</t>
  </si>
  <si>
    <t>切换至2G成功次数</t>
  </si>
  <si>
    <t xml:space="preserve">统计系统间切换出执行成功次数（EPS-&gt; GERAN）。</t>
  </si>
  <si>
    <t xml:space="preserve">源eNB接收到MME发送的“UE上下文释放”消息（UE CONTEXT RELEASE COMMAND），且消息中携带原因值为Successful Handover，指示系统间（EUTRAN-&gt; GERAN）切换执行成功。（3GPP TS36.413）</t>
  </si>
  <si>
    <t>在中国移动场景，也就是eSRVCC切换成功次数</t>
  </si>
  <si>
    <t>ENBHE05</t>
  </si>
  <si>
    <t>IRATHO.AvgTimeOutGeran</t>
  </si>
  <si>
    <t>切换至2G平均时长</t>
  </si>
  <si>
    <t>统计系统间切换出的平均时长（EPS-&gt; GERAN）。</t>
  </si>
  <si>
    <t>各次成功的LTE至2G切换的切换时长的平均值。切换时长为源eNB向MME发送的HANDOVER REQUIRED(Handover Type IE指示为LTEtoGERAN）消息和源eNB接收到MME发送的UE CONTEXT RELEASE COMMAND消息之间的时长。
切换执行时长为源eNB接收到MME发送的HANDOVER COMMAND消息到源eNB接收到MME发送的UE CONTEXT RELEASE COMMAND消息（原因值为Successful Handvoer）之间的时长。</t>
  </si>
  <si>
    <t>IRATHO.AvgTimeOutGeran.Exec</t>
  </si>
  <si>
    <t>至2G切换执行平均时长</t>
  </si>
  <si>
    <t>无成功切换时此值报0</t>
  </si>
  <si>
    <t>ENBHE06</t>
  </si>
  <si>
    <t>IRATHO.AttOutUtran</t>
  </si>
  <si>
    <t>切换至3G请求次数</t>
  </si>
  <si>
    <t xml:space="preserve">统计系统间分组域切换出准备请求次数（EPS-&gt; UTRAN）。</t>
  </si>
  <si>
    <t xml:space="preserve">源eNB向MME发送的“切换请求”消息（HANDOVER REQUIRED），指示系统间（EUTRAN-&gt; UTRAN）分组域切换准备请求。（3GPP TS36.413）</t>
  </si>
  <si>
    <t>CC条件：存在3G场景时</t>
  </si>
  <si>
    <t>ENBHE07</t>
  </si>
  <si>
    <t>IRATHO.SuccPrepOutUtran</t>
  </si>
  <si>
    <t>切换至3G准备成功次数</t>
  </si>
  <si>
    <t xml:space="preserve">统计系统间分组域切换出准备成功次数（EPS-&gt; UTRAN）。</t>
  </si>
  <si>
    <t xml:space="preserve">源eNB收到MME发送的“切换命令”消息（HANDOVER COMMAND），指示系统间（EUTRAN-&gt; UTRAN）分组域切换准备成功。（3GPP TS36.413）</t>
  </si>
  <si>
    <t>ENBHE08</t>
  </si>
  <si>
    <t>IRATHO.FailPrepOutUtran</t>
  </si>
  <si>
    <t>切换至3G准备失败次数</t>
  </si>
  <si>
    <t xml:space="preserve">统计系统间分组域切换出准备失败次数（EPS-&gt; UTRAN），按原因统计。</t>
  </si>
  <si>
    <t xml:space="preserve">源eNB收到MME发送的“切换准备失败”消息（HANDOVER PREPARATION FAILURE），或定时器超时，指示系统间（EUTRAN-&gt; UTRAN）分组域切换准备失败，按原因统计。（3GPP TS36.413）</t>
  </si>
  <si>
    <t>IRATHO.FailPrepOutUtran._Cause</t>
  </si>
  <si>
    <t>分原因的切换至3G准备失败次数</t>
  </si>
  <si>
    <t>ENBHE09</t>
  </si>
  <si>
    <t>IRATHO.SuccOutUtran</t>
  </si>
  <si>
    <t>切换至3G成功次数</t>
  </si>
  <si>
    <t xml:space="preserve">统计系统间分组域切换出执行成功次数（EPS-&gt; UTRAN）。</t>
  </si>
  <si>
    <t xml:space="preserve">源eNB接收到MME发送的“UE上下文释放”消息（UE CONTEXT RELEASE COMMAND），且消息中携带原因值为Successful Handover，指示系统间（EUTRAN-&gt; UTRAN）分组域切换执行成功。（3GPP TS36.413）</t>
  </si>
  <si>
    <t>ENBHE10</t>
  </si>
  <si>
    <t>IRATHO.AvgTimeOutUtran</t>
  </si>
  <si>
    <t>切换至3G平均时长</t>
  </si>
  <si>
    <t>统计系统间分组域切换出的平均时长（EPS-&gt; UTRAN）。</t>
  </si>
  <si>
    <t>各次成功的LTE至3G切换的切换时长的平均值。切换时长为源eNB向MME发送的HANDOVER REQUIRED(Handover Type IE指示为LTEtoUTRAN）消息和源eNB接收到MME发送的UE CONTEXT RELEASE COMMAND消息之间的时长。</t>
  </si>
  <si>
    <t>无成功切换时此值报“-”（英文减号）
CC条件：存在3G场景时</t>
  </si>
  <si>
    <t>ENBHE11</t>
  </si>
  <si>
    <t>IRATHO.AttIncGeran</t>
  </si>
  <si>
    <t>2G切入请求次数</t>
  </si>
  <si>
    <t xml:space="preserve">统计系统间分组域切换入准备请求次数（GERAN-&gt;EPS）。</t>
  </si>
  <si>
    <t xml:space="preserve">目标eNB收到MME发送的“切换请求”消息（HANDOVER REQUEST），Handover Type IE（GERANtoLTE）指示系统间分组域切换入准备请求。（3GPP TS 36.413）。</t>
  </si>
  <si>
    <t>ENBHE12</t>
  </si>
  <si>
    <t>IRATHO.SuccPrepIncGeran</t>
  </si>
  <si>
    <t>2G切入准备成功次数</t>
  </si>
  <si>
    <t xml:space="preserve">统计系统间分组域切换入准备成功次数（GERAN-&gt;EPS）。</t>
  </si>
  <si>
    <t xml:space="preserve">目标eNB向MME发送“切换请求确认”消息（HANDOVER REQUEST ACKNOWLEDGE），指示系统间（GERAN-&gt;EUTRAN）分组域切换入准备成功。（3GPP TS 36.413）。</t>
  </si>
  <si>
    <t>ENBHE13</t>
  </si>
  <si>
    <t>IRATHO.FailPrepIncGeran</t>
  </si>
  <si>
    <t>2G切入准备失败次数</t>
  </si>
  <si>
    <t xml:space="preserve">统计系统间分组域切换入准备失败次数（GERAN-&gt;EPS），按原因统计。</t>
  </si>
  <si>
    <t xml:space="preserve">目标eNB向MME发送“切换失败”消息（HANDOVER FAILURE），或定时器超时，指示系统间（GERAN-&gt;EUTRAN）分组域切换入准备失败，按原因统计。（3GPP TS 36.413）。</t>
  </si>
  <si>
    <t>IRATHO.FailPrepIncGeran._Cause</t>
  </si>
  <si>
    <t>分原因的2G切入准备失败次数</t>
  </si>
  <si>
    <t>ENBHE14</t>
  </si>
  <si>
    <t>IRATHO.SuccIncGeran</t>
  </si>
  <si>
    <t>2G切入成功次数</t>
  </si>
  <si>
    <t>统计系统间分组域切换入成功次数（GERAN-&gt;EPS）。</t>
  </si>
  <si>
    <t>目标eNB向MME发送“切换通知”消息(Handover Notify),指示由2G切入LTE成功。(3GPP TS 36.413)</t>
  </si>
  <si>
    <t>ENBHE15</t>
  </si>
  <si>
    <t>IRATHO.AttIncUtran</t>
  </si>
  <si>
    <t>3G切入请求次数</t>
  </si>
  <si>
    <t xml:space="preserve">统计系统间分组域切换入准备请求次数（UTRAN-&gt;EPS）。</t>
  </si>
  <si>
    <t xml:space="preserve">目标eNB收到MME发送的“切换请求”消息（HANDOVER REQUEST），Handover Type IE（UTRANtoLTE）指示系统间（UTRAN-&gt;EUTRAN）分组域切换入准备请求。（3GPP TS 36.413）。</t>
  </si>
  <si>
    <t>ENBHE16</t>
  </si>
  <si>
    <t>IRATHO.SuccPrepIncUtran</t>
  </si>
  <si>
    <t>3G切入准备成功次数</t>
  </si>
  <si>
    <t xml:space="preserve">统计系统间分组域切换入准备成功次数（UTRAN-&gt;EPS）。</t>
  </si>
  <si>
    <t xml:space="preserve">目标eNB向MME发送“切换请求确认”消息（HANDOVER REQUEST ACKNOWLEDGE），指示系统间（UTRAN-&gt;EUTRAN）分组域切换入准备成功。（3GPP TS 36.413）。</t>
  </si>
  <si>
    <t>ENBHE17</t>
  </si>
  <si>
    <t>IRATHO.FailPrepIncUtran</t>
  </si>
  <si>
    <t>3G切入准备失败次数</t>
  </si>
  <si>
    <t xml:space="preserve">统计系统间分组域切换入准备失败次数（UTRAN-&gt;EPS），按原因统计。</t>
  </si>
  <si>
    <t xml:space="preserve">目标eNB向MME发送“切换失败”消息（HANDOVER FAILURE），或定时器超时，指示系统间（UTRAN-&gt;EUTRAN）分组域切换入准备失败，按原因统计。（3GPP TS 36.413）。</t>
  </si>
  <si>
    <t>IRATHO.FailPrepIncUtran._Cause</t>
  </si>
  <si>
    <t>分原因的3G切入准备失败次数</t>
  </si>
  <si>
    <t>ENBHE18</t>
  </si>
  <si>
    <t>IRATHO.SuccIncUtran</t>
  </si>
  <si>
    <t>3G切入成功次数</t>
  </si>
  <si>
    <t>统计系统间分组域切换入成功次数（UTRAN-&gt;EPS）。</t>
  </si>
  <si>
    <t>目标eNB向MME发送“切换通知”消息(Handover Notify),指示由3G切入LTE成功。(3GPP TS 36.413)</t>
  </si>
  <si>
    <t>ENBHE19</t>
  </si>
  <si>
    <t>IRATHO.AttOut5GS</t>
  </si>
  <si>
    <t>切换至5G请求次数</t>
  </si>
  <si>
    <t>统计系统间切换出请求次数（EPS-&gt;5GS）。</t>
  </si>
  <si>
    <t>源eNB向MME发送的“切换请求”消息（HANDOVER REQUIRED），Handover Type IE（EPSto5GS）指示系统间（EPS-&gt;5GS）切换请求。（3GPP TS36.413）</t>
  </si>
  <si>
    <t>ENBHE20</t>
  </si>
  <si>
    <t>IRATHO.SuccPrepOut5G</t>
  </si>
  <si>
    <t>切换至5G准备成功次数</t>
  </si>
  <si>
    <t>统计系统间切换出准备成功次数（EPS-&gt;5GS）。</t>
  </si>
  <si>
    <t>源eNB收到MME发送的“切换命令”消息（HANDOVER COMMAND），指示系统间（EPS-&gt;5GS）切换准备成功。（3GPP TS36.413）</t>
  </si>
  <si>
    <t>ENBHE21</t>
  </si>
  <si>
    <t>IRATHO.FailPrepOut5G</t>
  </si>
  <si>
    <t>切换至5G准备失败次数</t>
  </si>
  <si>
    <t xml:space="preserve">统计系统间切换出准备失败次数（EPS-&gt;5GS），按原因统计。</t>
  </si>
  <si>
    <t xml:space="preserve">源eNB收到MME发送的“切换准备失败”消息（HANDOVER PREPARATION FAILURE），或定时器超时，指示系统间（EPS-&gt;5GS）切换准备失败，按原因统计。（3GPP TS36.413）</t>
  </si>
  <si>
    <t>IRATHO.FailPrepOut5G._Cause</t>
  </si>
  <si>
    <t>分原因的切换至5G准备失败次数</t>
  </si>
  <si>
    <t>ENBHE22</t>
  </si>
  <si>
    <t>IRATHO.SuccOut5G</t>
  </si>
  <si>
    <t>切换至5G成功次数</t>
  </si>
  <si>
    <t xml:space="preserve">统计系统间切换出执行成功次数（EPS-&gt;5GS）。</t>
  </si>
  <si>
    <t xml:space="preserve">源eNB接收到MME发送的“UE上下文释放”消息（UE CONTEXT RELEASE COMMAND），且消息中携带原因值为Successful Handover，指示系统间（EPS-&gt;5GS）切换执行成功。（3GPP TS36.413）</t>
  </si>
  <si>
    <t>ENBHE23</t>
  </si>
  <si>
    <t>IRATHO.AvgTimeOut5G</t>
  </si>
  <si>
    <t>切换至5G平均时长</t>
  </si>
  <si>
    <t>统计系统间切换出的平均时长（EPS-&gt;5GS）。</t>
  </si>
  <si>
    <t>各次成功的LTE至5G切换的切换时长的平均值。切换时长为源eNB向MME发送的HANDOVER REQUIRED(Handover Type IE指示为EPSto5GS）消息和源eNB接收到MME发送的UE CONTEXT RELEASE COMMAND消息之间的时长。
切换执行时长为源eNB接收到MME发送的HANDOVER COMMAND消息到源eNB接收到MME发送的UE CONTEXT RELEASE COMMAND消息（原因值为Successful Handvoer）之间的时长。</t>
  </si>
  <si>
    <t>IRATHO.AvgTimeOut5G.Exec</t>
  </si>
  <si>
    <t>至5G切换执行平均时长</t>
  </si>
  <si>
    <t>ENBHE24</t>
  </si>
  <si>
    <t>IRATHO.AttInc5G</t>
  </si>
  <si>
    <t>5G切入请求次数</t>
  </si>
  <si>
    <t>统计系统间切换入准备请求次数（5GS-&gt;EPS）。</t>
  </si>
  <si>
    <t>目标eNB收到MME发送的“切换请求”消息（HANDOVER REQUEST），Handover Type IE（5GStoEPS）指示系统间切换入准备请求。（3GPP TS 36.413）。</t>
  </si>
  <si>
    <t>ENBHE25</t>
  </si>
  <si>
    <t>IRATHO.SuccPrepInc5G</t>
  </si>
  <si>
    <t>5G切入准备成功次数</t>
  </si>
  <si>
    <t>统计系统间切换入准备成功次数（5GS-&gt;EPS）。</t>
  </si>
  <si>
    <t>目标eNB向MME发送“切换请求确认”消息（HANDOVER REQUEST ACKNOWLEDGE），指示系统间（5GS-&gt;EPS）切换入准备成功。（3GPP TS 36.413）。</t>
  </si>
  <si>
    <t>ENBHE26</t>
  </si>
  <si>
    <t>IRATHO.FailPrepInc5G</t>
  </si>
  <si>
    <t>5G切入准备失败次数</t>
  </si>
  <si>
    <t>统计系统间切换入准备失败次数（5GS-&gt;EPS），按原因统计。</t>
  </si>
  <si>
    <t>目标eNB向MME发送“切换失败”消息（HANDOVER FAILURE），或定时器超时，指示系统间（5GS-&gt;EPS）切换入准备失败，按原因统计。（3GPP TS 36.413）。</t>
  </si>
  <si>
    <t>IRATHO.FailPrepInc5G._Cause</t>
  </si>
  <si>
    <t>分原因的5G切入准备失败次数</t>
  </si>
  <si>
    <t>ENBHE27</t>
  </si>
  <si>
    <t>IRATHO.SuccInc5G</t>
  </si>
  <si>
    <t>5G切入成功次数</t>
  </si>
  <si>
    <t>统计系统间切换入成功次数（5GS-&gt;EPS）。</t>
  </si>
  <si>
    <t>目标eNB向MME发送“切换通知”消息(Handover Notify),指示由5G切入LTE成功。(3GPP TS 36.413)</t>
  </si>
  <si>
    <t>ENBHF01</t>
  </si>
  <si>
    <t>HO.AttOutPerRelation</t>
  </si>
  <si>
    <t>系统内每相邻关系切换出请求次数</t>
  </si>
  <si>
    <t>统计系统内小区间切换出请求次数，并按切换原因分类统计。单独统计QCI=1的系统内每相邻关系切换出请求次数。
注：本测量不包括eNB内切换。</t>
  </si>
  <si>
    <t xml:space="preserve">源eNB向MME发送的“切换请求”(HANDOVER REQUIRED)(3GPP TS36.413)消息；或者源eNB向目标eNB发送的“切换请求”(HANDOVER REQUEST)（TS36.423）消息。</t>
  </si>
  <si>
    <t>EutranRelation</t>
  </si>
  <si>
    <t>HO.AttOutPerRelation._Cause</t>
  </si>
  <si>
    <t>分原因的系统内每相邻关系切换出请求次数</t>
  </si>
  <si>
    <t>HO.AttOutPerRelation.1</t>
  </si>
  <si>
    <t>QCI=1系统内每相邻关系切换出请求次数</t>
  </si>
  <si>
    <t>ENBHF02</t>
  </si>
  <si>
    <t>HO.SuccOutPrepPerRelation</t>
  </si>
  <si>
    <t>系统内每相邻关系切换出准备成功次数</t>
  </si>
  <si>
    <t xml:space="preserve">统计系统内小区间切换出准备成功次数。单独统计QCI=1的系统内每相邻关系切换出准备成功次数。
注：本测量不包括eNB内切换。
</t>
  </si>
  <si>
    <t>源eNB收到MME发送的“切换命令”(HANDOVER COMMAND)(3GPP TS36.413)消息；或者源eNB收到目标eNB发送的“切换请求确认”(HANDOVER REQUEST ACKNOWLEDGE)（TS36.423）消息。</t>
  </si>
  <si>
    <t>HO.SuccOutPrepPerRelation.1</t>
  </si>
  <si>
    <t>QCI=1系统内每相邻关系切换出准备成功次数</t>
  </si>
  <si>
    <t>ENBHF03</t>
  </si>
  <si>
    <t>HO.AttOutExecPerRelation</t>
  </si>
  <si>
    <t>系统内每相邻关系切换出执行请求次数</t>
  </si>
  <si>
    <t>统计系统内小区间切换出执行请求次数。单独统计QCI=1的系统内每相邻关系切换出执行请求次数。
注，本测量包括eNB内的切换。</t>
  </si>
  <si>
    <t xml:space="preserve">源eNB向UE发送包含“mobilityControlInformation”的“RRC连接重配”消息（RRCConnectionReconfiguration），指示系统内小区间切换出请求。（3GPP TS36.331） </t>
  </si>
  <si>
    <t>HO.AttOutExecPerRelation.1</t>
  </si>
  <si>
    <t>QCI=1系统内每相邻关系切换出执行请求次数</t>
  </si>
  <si>
    <t>ENBHF04</t>
  </si>
  <si>
    <t>HO.SuccOutPerRelation</t>
  </si>
  <si>
    <t>系统内每相邻关系切换出成功次数</t>
  </si>
  <si>
    <t>统计系统内小区间切换成功次数。单独统计QCI=1系统内每相邻关系切换出成功次数。</t>
  </si>
  <si>
    <t>对于X2接口切换:源eNB收到目标eNB发送的“UE上下文释放”（UE CONTEXT RELEASE）（TS36.423)消息；
对于S1接口切换：源eNB收到MME发送的“UE上下文释放命令”（UE CONTEXT RELEASE COMMAND）(3GPP TS36.413)消息；
对于eNB内的切换：eNB收到UE发送的RRCConnectionReconfigurationComplete消息。</t>
  </si>
  <si>
    <t>HO.SuccOutPerRelation.1</t>
  </si>
  <si>
    <t>QCI=1系统内每相邻关系切换出成功次数</t>
  </si>
  <si>
    <t>ENBHF05</t>
  </si>
  <si>
    <t xml:space="preserve">HO.OutFailTooEarly </t>
  </si>
  <si>
    <t>过早切换出失败次数</t>
  </si>
  <si>
    <t>统计移动鲁棒性优化(MRO)相关的切换出失败次数</t>
  </si>
  <si>
    <t xml:space="preserve">通过检测eNB切换失败事件（3GPP TS 36.300），统计由于过早切换引起的切换出失败次数。
</t>
  </si>
  <si>
    <t>ENBHF06</t>
  </si>
  <si>
    <t>HO.OutFailTooLate</t>
  </si>
  <si>
    <t>过晚切换出失败次数</t>
  </si>
  <si>
    <t xml:space="preserve">通过检测eNB切换失败事件（3GPP TS 36.300），统计由于过晚切换引起的切换出失败次数。
</t>
  </si>
  <si>
    <t>ENBHF07</t>
  </si>
  <si>
    <t>HO.OutFailToWrongCell</t>
  </si>
  <si>
    <t>到错误小区的切换出失败次数</t>
  </si>
  <si>
    <t xml:space="preserve">通过检测eNB切换失败事件（3GPP TS 36.300），统计由于切换到错误小区引起的切换出失败次数。
</t>
  </si>
  <si>
    <t>ENBHF08</t>
  </si>
  <si>
    <t>HO.OutPrepFail.CauseTCellNoResponse</t>
  </si>
  <si>
    <t>系统内每相邻关系目标小区无响应原因导致的切换出准备失败次数</t>
  </si>
  <si>
    <t>统计由于定时器超时导致的切换出准备失败</t>
  </si>
  <si>
    <t>S1切换时源eNB给MME发送HANDOVER REQUIRED消息后，定时器TS1RELOCprep超时，指示切换出准备失败（参见3GPP TS 36.413）；或X2切换时源eNB给目标eNB发送HANDOVER REQUEST消息后，定时器TRELOCprep超时，指示切换出准备失败（参见3GPP TS 36.423）。</t>
  </si>
  <si>
    <t>ENBHF09</t>
  </si>
  <si>
    <t>HO.OutPrepFail.CauseHOPrepFailureMsg</t>
  </si>
  <si>
    <t>系统内每相邻关系目标小区回复切换准备失败消息导致切换出准备失败次数</t>
  </si>
  <si>
    <t>统计由于目标小区回复切换准备失败消息导致的切换出准备失败</t>
  </si>
  <si>
    <t>S1切换时源eNB收到MME发送的“切换准备失败”消息（HANDOVER PREPARATION FAILURE）（3GPP TS 36.413），或X2切换时源eNB收到目标eNB发送的“切换准备失败”（HANDOVER PREPARATION FAILURE）消息。</t>
  </si>
  <si>
    <t>ENBHF10</t>
  </si>
  <si>
    <t>HO.PingPong</t>
  </si>
  <si>
    <t>乒乓切换次数</t>
  </si>
  <si>
    <t>统计基于两两邻区关系的乒乓切换次数。</t>
  </si>
  <si>
    <t>根据用户的历史信息进行判断，如果用户从源小区切换到目标邻区，乒乓切换定时器超时前又成功切换回源小区，则统计值加1。</t>
  </si>
  <si>
    <t>ENBHG01</t>
  </si>
  <si>
    <t>PAG.PagReceived</t>
  </si>
  <si>
    <t>寻呼记录接收个数</t>
  </si>
  <si>
    <t xml:space="preserve">统计E-UTRAN从MME收到的的寻呼个数。</t>
  </si>
  <si>
    <t>eNB从MME成功收到的“寻呼”消息(PAGING),且TAI List含有本小区的TA（3GPP TS 36.413）。</t>
  </si>
  <si>
    <t>ENBHG02</t>
  </si>
  <si>
    <t>PAG.PagDiscarded</t>
  </si>
  <si>
    <t>寻呼记录丢弃个数</t>
  </si>
  <si>
    <t xml:space="preserve">统计eNB丢弃的寻呼个数。</t>
  </si>
  <si>
    <t>对本小区的寻呼记录，由于各种原因（例如拥塞等）直接丢弃的寻呼记录总数</t>
  </si>
  <si>
    <t>CA条件：网络拥塞或故障时</t>
  </si>
  <si>
    <t>ENBHH01</t>
  </si>
  <si>
    <t>PDCP.UpOctUl</t>
  </si>
  <si>
    <t>小区用户面上行字节数</t>
  </si>
  <si>
    <t>在测量周期内，累加小区用户面通过空口成功接收的PDCP SDU字节数，即小区用户面PDCP层从下层接收到的PDCP SDU字节数，并应该按照承载的QCI类型分类统计。
单独统计上行CA激活用户的小区用户面上行字节数。</t>
  </si>
  <si>
    <t xml:space="preserve">KByte</t>
  </si>
  <si>
    <t>1KByte=1000Byte</t>
  </si>
  <si>
    <t>PDCP.UpOctUl.eMTC</t>
  </si>
  <si>
    <t>eMTC终端小区用户面上行字节数</t>
  </si>
  <si>
    <t>注1：1KByte=1000Byte
注2：CB条件：eMTC功能开启时，针对eMTC终端的统计</t>
  </si>
  <si>
    <t>PDCP.UpOctUl._Qci</t>
  </si>
  <si>
    <t>分QCI的小区用户面上行字节数</t>
  </si>
  <si>
    <t>PDCP.UpOctUl.CA</t>
  </si>
  <si>
    <t>上行CA激活用户的小区用户面上行字节数</t>
  </si>
  <si>
    <t>ENBHH02</t>
  </si>
  <si>
    <t>PDCP.UpOctDl</t>
  </si>
  <si>
    <t>小区用户面下行字节数</t>
  </si>
  <si>
    <t>在测量周期内，累加小区用户面通过空口成功发送的PDCP SDU字节数，即小区用户面PDCP层向下层发送的SDU字节数，并按照承载的QCI类型分类统计。成功发送定义为收到UE对PDCP SDU的最后一个分片的ACK确认，具体为UM模式下为MAC层ACK;AM模式下为RLC层ACK。字节数的统计在PDCP层，统计压缩之后的字节数。
单独统计下行CA激活用户的小区用户面下行字节数。
注1：该测量不包括切换过程中，通过X2或S1接口转发到其它eNB的PDCP SDU字节数。
注2：该测量不考虑低层是否重传或传送失败。</t>
  </si>
  <si>
    <t>PDCP.UpOctDl.eMTC</t>
  </si>
  <si>
    <t>eMTC终端小区用户面下行字节数</t>
  </si>
  <si>
    <t>PDCP.UpOctDl._Qci</t>
  </si>
  <si>
    <t>分QCI的小区用户面下行字节数</t>
  </si>
  <si>
    <t>1KByte=1000Byte
支持扩展QCI</t>
  </si>
  <si>
    <t>PDCP.UpOctDl.CA</t>
  </si>
  <si>
    <t>下行CA激活用户的小区用户面下行字节数</t>
  </si>
  <si>
    <t>注1：1KByte=1000Byte
注2：CA条件：开启载波聚合功能时，进行相关统计</t>
  </si>
  <si>
    <t>ENBHH03</t>
  </si>
  <si>
    <t>PDCP.CpOctUl</t>
  </si>
  <si>
    <t>小区控制面上行字节数</t>
  </si>
  <si>
    <t>在测量周期内，累加小区控制面通过空口成功接收的PDCP SDU字节数，即小区控制面PDCP层从下层接收到的PDCP SDU字节数。</t>
  </si>
  <si>
    <t>ENBHH04</t>
  </si>
  <si>
    <t>PDCP.CpOctDl</t>
  </si>
  <si>
    <t>小区控制面下行字节数</t>
  </si>
  <si>
    <t>在测量周期内，累加小区控制面通过空口成功发送的PDCP SDU字节数，统计小区控制面PDCP层向下层发送的SDU字节数。成功发送定义为收到UE对PDCP SDU的最后一个分片的ACK确认。</t>
  </si>
  <si>
    <t>ENBHH05</t>
  </si>
  <si>
    <t>PDCP.NbrPktUl</t>
  </si>
  <si>
    <t>小区上行包数</t>
  </si>
  <si>
    <t>在测量周期内，统计小区上行eNB期望接收到的PDCP总包数，并区分QCI分别进行统计。</t>
  </si>
  <si>
    <t xml:space="preserve">1KByte=1000Byte
</t>
  </si>
  <si>
    <t>PDCP.NbrPktUl._Qci</t>
  </si>
  <si>
    <t>分QCI的小区上行包数</t>
  </si>
  <si>
    <t xml:space="preserve">1KByte=1000Byte支持扩展QCI
</t>
  </si>
  <si>
    <t>ENBHH06</t>
  </si>
  <si>
    <t>PDCP.NbrPktLossUl</t>
  </si>
  <si>
    <t>小区上行丢包数</t>
  </si>
  <si>
    <t>统计小区上行eNB发现丢失的PDCP包序列号的总数，并区分QCI分别进行统计</t>
  </si>
  <si>
    <t>PDCP.NbrPktLossUl._Qci</t>
  </si>
  <si>
    <t>分QCI的小区上行丢包数</t>
  </si>
  <si>
    <t>ENBHH07</t>
  </si>
  <si>
    <t>PDCP.NbrPktDl</t>
  </si>
  <si>
    <t>小区下行包数</t>
  </si>
  <si>
    <t>统计小区下行eNB发送的PDCP总包数，不含重发，但包含丢包，并区分QCI分别进行统计。
注：本测量=小区下行PDCP层从上层接收到的包数-小区下行PDCP层弃包数。</t>
  </si>
  <si>
    <t>PDCP.NbrPktDl._Qci</t>
  </si>
  <si>
    <t>分QCI的小区下行包数</t>
  </si>
  <si>
    <t>ENBHH08</t>
  </si>
  <si>
    <t>PDCP.NbrPktLossDl</t>
  </si>
  <si>
    <t>小区下行丢包数</t>
  </si>
  <si>
    <t>统计小区下行eNB发送丢失的PDCP总包数。注：下行发送是否丢失，需要结合HARQ的结果来判断。</t>
  </si>
  <si>
    <t>PDCP.NbrPktLossDl._Qci</t>
  </si>
  <si>
    <t>分QCI的小区下行丢包数</t>
  </si>
  <si>
    <t>ENBHH10</t>
  </si>
  <si>
    <t>PDCP.UpPktDiscardDl</t>
  </si>
  <si>
    <t>小区下行弃包数</t>
  </si>
  <si>
    <t>统计小区下行eNB的弃包数。弃包指由于拥塞、流量管理等因素，数据包未在空口中传输。</t>
  </si>
  <si>
    <t>PDCP.UpPktDiscardDl._Qci</t>
  </si>
  <si>
    <t>分QCI的小区下行弃包数</t>
  </si>
  <si>
    <t>ENBHH11</t>
  </si>
  <si>
    <t>PDCP.ThrpTimeUL</t>
  </si>
  <si>
    <t>小区PDCP层接收上行数据的业务总时长</t>
  </si>
  <si>
    <t>在小区范围内，累加每个UE每个E-RAB的激活DRB的上行PDCP缓存不为空总时长（不含最后一个TTI）。上行PDCP缓存是否为空的判断依赖于BSR上报（对小数据包和半持续调度业务难以统计）。每个QCI类型对应一个子测量项。当分QCI统计时，统计精度还与LCG划分和小区负荷有关。
单独统计上行CA激活用户的小区PDCP层接收上行数据的业务总时长。</t>
  </si>
  <si>
    <t>PDCP.ThrpTimeUL._Qci</t>
  </si>
  <si>
    <t>分QCI的小区PDCP层接收上行数据的业务总时长</t>
  </si>
  <si>
    <t>PDCP.ThrpTimeUL.CA</t>
  </si>
  <si>
    <t>上行CA激活用户的小区PDCP层接收上行数据的业务总时长</t>
  </si>
  <si>
    <t>ENBHH12</t>
  </si>
  <si>
    <t>PDCP.ThrpTimeDL</t>
  </si>
  <si>
    <t>小区PDCP层发送下行数据的业务总时长</t>
  </si>
  <si>
    <t>在小区范围内，累加每个UE每个E-RAB的激活DRB的下行PDCP缓存不为空总时长（不含最后一个TTI）。每个QCI类型对应一个子测量项。
单独统计下行CA激活用户的小区PDCP层发送下行数据的业务总时长。</t>
  </si>
  <si>
    <t>PDCP.ThrpTimeDL._Qci</t>
  </si>
  <si>
    <t>分QCI的小区PDCP层发送下行数据的业务总时长</t>
  </si>
  <si>
    <t>PDCP.ThrpTimeDL.CA</t>
  </si>
  <si>
    <t>下行CA激活用户的小区PDCP层发送下行数据的业务总时长</t>
  </si>
  <si>
    <t>ENBHH13</t>
  </si>
  <si>
    <t>PDCP.UpPktTotDelayDl</t>
  </si>
  <si>
    <t>小区用户面下行总时延</t>
  </si>
  <si>
    <t>时延统计为从收到PDCP SDU到PDCP SDU成功发送之间所经历的时长，累加统计周期内所有的PDCP数据包时延，每个QCI类型对应一个子测量项。
成功发送定义为收到UE对PDCP SDU的最后一个分片的ACK确认，具体为UM模式下为MAC层ACK;AM模式下为RLC层ACK。
成功发送时间终点为PDCP SDU的最后一个分片在MAC层发出，即时延统计不包含ACK反馈所消耗的上行时间。（与3GPP TS 32.314有差异）</t>
  </si>
  <si>
    <t xml:space="preserve">DER (n=1)</t>
  </si>
  <si>
    <t>PDCP.UpPktTotDelayDl._Qci</t>
  </si>
  <si>
    <t>分QCI的小区用户面下行总时延</t>
  </si>
  <si>
    <t>ENBHH14</t>
  </si>
  <si>
    <t>PDCP.UpLastTtiOctUl</t>
  </si>
  <si>
    <t>小区用户面上行尾包字节数</t>
  </si>
  <si>
    <t>在测量周期内，累加缓存区清空前最后一个TTI通过空口成功接收的PDCP SDU字节数，按照承载的QCI类型分类统计。
单独统计上行CA激活用户的小区用户面上行尾包字节数.</t>
  </si>
  <si>
    <t>PDCP.UpLastTtiOctUl._Qci</t>
  </si>
  <si>
    <t>分QCI的小区用户面上行尾包字节数</t>
  </si>
  <si>
    <t>PDCP.UpLastTtiOctUl.CA</t>
  </si>
  <si>
    <t>上行CA激活用户的小区用户面上行尾包字节数</t>
  </si>
  <si>
    <t>注1：1KByte=1000Byte
注2：CA条件：开启载波聚合功能时，进行相关统计</t>
  </si>
  <si>
    <t>ENBHH15</t>
  </si>
  <si>
    <t>PDCP.UpLastTtiOctDl</t>
  </si>
  <si>
    <t>小区用户面下行尾包字节数</t>
  </si>
  <si>
    <t>在测量周期内，累加缓存区清空前最后一个TTI通过空口成功发送的PDCP SDU字节数。字节数的统计在PDCP层，统计压缩之后的字节数。
单独统计下行CA激活用户的小区用户面下行尾包字节数。
注1：该测量不包括切换过程中，通过X2或S1接口转发到其它eNB的PDCP SDU字节数。
注2：该测量不考虑低层是否重传或传送失败。</t>
  </si>
  <si>
    <t>PDCP.UpLastTtiOctDl._Qci</t>
  </si>
  <si>
    <t>分QCI的小区用户面下行尾包字节数</t>
  </si>
  <si>
    <t>PDCP.UpLastTtiOctDl.CA</t>
  </si>
  <si>
    <t>下行CA激活用户的小区用户面下行尾包字节数</t>
  </si>
  <si>
    <t>ENBHI06</t>
  </si>
  <si>
    <t>RRU.RachPreambleRcvd</t>
  </si>
  <si>
    <t>前导码接收数</t>
  </si>
  <si>
    <t xml:space="preserve">统计周期内，同一小区中所有物理随机接入信道所接收到的前导码数量，分别按照Dedicated、GroupA和GroupB统计。</t>
  </si>
  <si>
    <t>RRU.RachPreambleRcvd.Dedicated</t>
  </si>
  <si>
    <t>专用RACH前导码接收数</t>
  </si>
  <si>
    <t>RRU.RachPreambleRcvd.GroupA</t>
  </si>
  <si>
    <t>GroupA RACH前导码接收数</t>
  </si>
  <si>
    <t>RRU.RachPreambleRcvd.GroupB</t>
  </si>
  <si>
    <t>GroupB RACH前导码接收数</t>
  </si>
  <si>
    <t>ENBHI09</t>
  </si>
  <si>
    <t>RRU.TtiTotUl</t>
  </si>
  <si>
    <t>上行PUSCH TTI总数</t>
  </si>
  <si>
    <t>统计上行PUSCH 总TTI数。（小区能够提供的总数）。</t>
  </si>
  <si>
    <t>ENBHI10</t>
  </si>
  <si>
    <t>RRU.TtiTotDl</t>
  </si>
  <si>
    <t>下行PDSCH TTI总数</t>
  </si>
  <si>
    <t>统计下行PDSCH 总TTI数 (小区能够提供的总数，包含能传输业务信息的特殊TTI)。</t>
  </si>
  <si>
    <t>ENBHI11</t>
  </si>
  <si>
    <t>RRU.BorrowFromScellPrbTotDl</t>
  </si>
  <si>
    <t>CA时借用Scell的PDSCH PRB总数</t>
  </si>
  <si>
    <t>统计CA场景，本小区作为PCell，借用其他小区下行PDSCH所有DRB承载所使用的PRB总数</t>
  </si>
  <si>
    <t>ENBHI12</t>
  </si>
  <si>
    <t>RRU.LendToPCellPrbTotDl</t>
  </si>
  <si>
    <t>CA时被PCell借用的PDSCH PRB总数</t>
  </si>
  <si>
    <t>统计CA场景，本小区作为Scell，被其他小区借用的下行PDSCH所有DRB承载所使用的PRB总数</t>
  </si>
  <si>
    <t>ENBHI15</t>
  </si>
  <si>
    <t>RRU.CellUnavailableTime</t>
  </si>
  <si>
    <t>小区不可用总时长</t>
  </si>
  <si>
    <t>统计周期内，当eNodeB由于某种原因，小区退服时，记录退服时长。（参考规范3GPP 32.450）需单独统计节能原因退服导致小区不可用时长和S1接口故障原因导致小区不可用时长。</t>
  </si>
  <si>
    <t>秒</t>
  </si>
  <si>
    <t>RRU.CellUnavailableTime.CauseEnergySave</t>
  </si>
  <si>
    <t>节能原因退服导致小区不可用时长</t>
  </si>
  <si>
    <t>RRU.CellUnavailableTime.CauseS1failure</t>
  </si>
  <si>
    <t>S1接口故障原因导致小区不可用时长</t>
  </si>
  <si>
    <t>ENBHI16</t>
  </si>
  <si>
    <t>RRU.PdcchCceAvail</t>
  </si>
  <si>
    <t>PDCCH信道CCE可用个数</t>
  </si>
  <si>
    <t>统计物理下行控制信道（PDCCH）可用的CCE个数。
对EutranCellTdd小区，单独统计TDD上行DCI所在子帧的PDCCH信道可用的CCE个数以及用于上行DCI的预留CCE个数（指RRU.PdcchCceAvail.UlDciSf测量项）。例如子帧配置 UL:DL =1:3, 3、8子帧的PDCCH可用于发送上行DCI。</t>
  </si>
  <si>
    <t>如果开启CFI自适应，按照自适应符号数的可用CCE个数统计。</t>
  </si>
  <si>
    <t>RRU.PdcchCceAvail.UlDciSf</t>
  </si>
  <si>
    <t>上行DCI所在子帧的PDCCH信道CCE可用个数</t>
  </si>
  <si>
    <t>EutranCellTdd</t>
  </si>
  <si>
    <t>RRU.PdcchCceReserve.UlDciSf</t>
  </si>
  <si>
    <t>上行DCI所在子帧的PDCCH信道为上行DCI预留的CCE个数</t>
  </si>
  <si>
    <t>ENBHI17</t>
  </si>
  <si>
    <t>RRU.TotMuMimoPrbUl</t>
  </si>
  <si>
    <t>上行MU-MIMO占用PRB数</t>
  </si>
  <si>
    <t>统计上行MU-MIMO使用的PRB数目。一个PRB被多个UE配对使用，统计为1。</t>
  </si>
  <si>
    <t>ENBHI18</t>
  </si>
  <si>
    <t>RRU.DtchPrbAssnUl</t>
  </si>
  <si>
    <t>上行业务信道占用PRB数</t>
  </si>
  <si>
    <t>统计周期内PUSCH中DRB所占用的物理资源块（PRB）总数。单独统计PUSCH中QCI=1和2的DRB占用物理资源块（PRB）总数。</t>
  </si>
  <si>
    <t>RRU.DtchPrbAssnUl.eMTC</t>
  </si>
  <si>
    <t xml:space="preserve">eMTC终端上行业务信道占用PRB总数 </t>
  </si>
  <si>
    <t>RRU.DtchPrbAssnUl.1</t>
  </si>
  <si>
    <t xml:space="preserve">上行VoLTE占用PRB总数 </t>
  </si>
  <si>
    <t>RRU.DtchPrbAssnUl.2</t>
  </si>
  <si>
    <t xml:space="preserve">上行QCI2承载占用PRB总数 </t>
  </si>
  <si>
    <t>ENBHI19</t>
  </si>
  <si>
    <t>RRU.DtchPrbAssnDl</t>
  </si>
  <si>
    <t>下行业务信道占用PRB数</t>
  </si>
  <si>
    <t>统计周期内PDSCH中DRB所占用的物理资源块（PRB）总数。单独统计PDSCH中QCI=1和2的DRB占用物理资源块（PRB）总数。</t>
  </si>
  <si>
    <t>RRU.DtchPrbAssnDl.eMTC</t>
  </si>
  <si>
    <t xml:space="preserve">eMTC终端下行业务信道占用PRB总数 </t>
  </si>
  <si>
    <t>RRU.DtchPrbAssnDl.1</t>
  </si>
  <si>
    <t xml:space="preserve">下行VoLTE占用PRB总数 </t>
  </si>
  <si>
    <t>ENBHI14</t>
  </si>
  <si>
    <t>RRU.DtchPrbAssnDl.2</t>
  </si>
  <si>
    <t xml:space="preserve">下行QCI2承载占用PRB总数 </t>
  </si>
  <si>
    <t>ENBHI20</t>
  </si>
  <si>
    <t>RRU.PuschPrbAssn</t>
  </si>
  <si>
    <t>上行PUSCH PRB占用数</t>
  </si>
  <si>
    <t>统计上行PUSCH所有（含用户面和控制面）的物理资源块数（PRB）占用数，即为统计周期内上行PUSCH占用的所有的物理资源块（PRB）数。
单独统计上行频选调度的PUSCH PRB占用数。</t>
  </si>
  <si>
    <t>RRU.PuschPrbAssn.UlFss</t>
  </si>
  <si>
    <t>上行频选调度的PUSCH PRB占用数</t>
  </si>
  <si>
    <t>CA条件：开启频选调度功能时，进行相关统计</t>
  </si>
  <si>
    <t>ENBHI21</t>
  </si>
  <si>
    <t>RRU.PdschPrbAssn</t>
  </si>
  <si>
    <t>下行PDSCH PRB占用数</t>
  </si>
  <si>
    <t>统计下行PDSCH所有（含用户面和控制面）的物理资源块数（PRB）占用数。即为统计周期内下行PDSCH占用的所有的物理资源块（PRB）数。
单独统计下行频选调度的PDSCH PRB占用数。</t>
  </si>
  <si>
    <t>RRU.PdschPrbAssn.DlFss</t>
  </si>
  <si>
    <t>下行频选调度的PDSCH PRB占用数</t>
  </si>
  <si>
    <t>ENBHI22</t>
  </si>
  <si>
    <t>RRU.PdcchCceUtil</t>
  </si>
  <si>
    <t>PDCCH信道CCE占用个数</t>
  </si>
  <si>
    <t>统计物理下行控制信道（PDCCH）占用的CCE个数。
对EUtranCellTdd小区，单独统计TDD上行DCI所在子帧的PDCCH信道占用的CCE个数；单独统计TDD上行DCI所在子帧的PDCCH信道用于上行DCI的占用CCE个数（指RRU.PdcchCceUtil.UlDciSf、RRU.PdcchCceUtil.UlDciSfForUl测量项）。</t>
  </si>
  <si>
    <t>RRU.PdcchCceUtil.UlDciSf</t>
  </si>
  <si>
    <t>上行DCI所在子帧的PDCCH信道CCE占用个数</t>
  </si>
  <si>
    <t>RRU.PdcchCceUtil.UlDciSfForUl</t>
  </si>
  <si>
    <t>上行DCI所在子帧的PDCCH信道上行DCI占用CCE个数</t>
  </si>
  <si>
    <t>RRU.PdcchCceUtil.1</t>
  </si>
  <si>
    <t>PDCCH信道CCE聚合度为1的占用个数</t>
  </si>
  <si>
    <t>RRU.PdcchCceUtil.2</t>
  </si>
  <si>
    <t>PDCCH信道CCE聚合度为2的占用个数</t>
  </si>
  <si>
    <t>RRU.PdcchCceUtil.4</t>
  </si>
  <si>
    <t>PDCCH信道CCE聚合度为4的占用个数</t>
  </si>
  <si>
    <t>RRU.PdcchCceUtil.8</t>
  </si>
  <si>
    <t>PDCCH信道CCE聚合度为8的占用个数</t>
  </si>
  <si>
    <t>ENBHI23</t>
  </si>
  <si>
    <t>RRU.PuschPrbTot</t>
  </si>
  <si>
    <t>上行PUSCH PRB可用数</t>
  </si>
  <si>
    <t>统计上行PUSCH所有的物理资源块数（PRB）可用数。即为统计周期内上行PUSCH可用的物理资源块（PRB）数。</t>
  </si>
  <si>
    <t>室分场景多个RRU占用的同一个RB计算为1。</t>
  </si>
  <si>
    <t>ENBHI24</t>
  </si>
  <si>
    <t>RRU.PdschPrbTot</t>
  </si>
  <si>
    <t>下行PDSCH PRB可用数</t>
  </si>
  <si>
    <t>统计下行PDSCH所有的物理资源块数（PRB）可用数。即为统计周期内下行PDSCH可用的物理资源块（PRB）数。</t>
  </si>
  <si>
    <t>ENBHI25</t>
  </si>
  <si>
    <t>RRU.TotalPrbUsageMeanUl</t>
  </si>
  <si>
    <t>上行PRB负载评估利用率平均值</t>
  </si>
  <si>
    <t>根据3GPP无线资源状态的定义和《中国移动TD-LTE无线网络主设备技术规范——无线功能分册v4.0.0》的要求统计负载评估值。当NGBR用户业务速率高于该业务最低保障速率时，该用户业务PRB负载评估值=该业务最低保障速率×该用户业务实际开销RB数/该用户业务实际吞吐量；GBR用户和当NGBR用户业务速率低于该业务最低保障速率时，该用户业务PRB负载评估值=该用户业务实际开销RB数。累计采样间隔内所有业务PRB负载评估值除以可用PRB总数得到总PRB负载评估利用率采样值，采样间隔为1～10秒。对统计周期内的所有非零采样值求平均。</t>
  </si>
  <si>
    <t>ENBHI26</t>
  </si>
  <si>
    <t>RRU.TotalPrbUsageMeanDl</t>
  </si>
  <si>
    <t>下行PRB负载评估利用率平均值</t>
  </si>
  <si>
    <t>ENBHI27</t>
  </si>
  <si>
    <t>RRU.BorrowFromScellPrbTotUl</t>
  </si>
  <si>
    <t>CA时借用Scell的PUSCH PRB总数</t>
  </si>
  <si>
    <t>统计CA场景，本小区作为PCell，借用其他小区上行PUSCH所有DRB承载所使用的PRB总数</t>
  </si>
  <si>
    <t>ENBHI28</t>
  </si>
  <si>
    <t>RRU.LendToPCellPrbTotUl</t>
  </si>
  <si>
    <t>CA时被PCell借用的PUSCH PRB总数</t>
  </si>
  <si>
    <t>统计CA场景，本小区作为Scell，被其他小区借用的上行PUSCH所有DRB承载所使用的PRB总数</t>
  </si>
  <si>
    <t>ENBHI29</t>
  </si>
  <si>
    <t>RRU.CompPrbTotUl</t>
  </si>
  <si>
    <t>上行COMP 占用的PUSCH PRB总数</t>
  </si>
  <si>
    <t>统计上行COMP占用PUSCH所有PRB总数</t>
  </si>
  <si>
    <t>ENBHI30</t>
  </si>
  <si>
    <t>RRU.CompPrbTotDl</t>
  </si>
  <si>
    <t>下行COMP 协作的PDSCH PRB总数</t>
  </si>
  <si>
    <t>统计下行COMP协作PDSCH所有PRB总数</t>
  </si>
  <si>
    <t>ENBHI31</t>
  </si>
  <si>
    <t>RRU.PucchPrbTot</t>
  </si>
  <si>
    <t>上行PUCCH PRB分配数</t>
  </si>
  <si>
    <t xml:space="preserve">统计分配作上行PUCCH的物理资源块数（PRB）</t>
  </si>
  <si>
    <t>ENBHI32</t>
  </si>
  <si>
    <t>RRU.FullRbTtiTotUl</t>
  </si>
  <si>
    <t>上行PUSCH满PRB调度TTI数</t>
  </si>
  <si>
    <t xml:space="preserve">上行PUSCH满PRB调度TTI，指上行PUSCH传输业务信息时用尽所有可用PRB的TTI，累计统计周期内上行PUSCH满PRB调度TTI数。 </t>
  </si>
  <si>
    <t>ENBHI33</t>
  </si>
  <si>
    <t>RRU.FullRbTtiTotDl</t>
  </si>
  <si>
    <t>下行PDSCH满PRB调度TTI数</t>
  </si>
  <si>
    <t xml:space="preserve">下行PDSCH满PRB调度TTI，指下行PDSCH传输业务信息时用尽所有可用PRB的TTI，累计统计周期内下行PDSCH满PRB调度TTI数。 </t>
  </si>
  <si>
    <t>ENBHI34</t>
  </si>
  <si>
    <t>RRU.CceFailureUl</t>
  </si>
  <si>
    <t>上行CCE分配失败次数</t>
  </si>
  <si>
    <t>统计周期内，同一小区PDCCH中用于上行调度的CCE分配失败总次数；分配失败原因包括CCE资源不够，与现有用户存在位置冲突以及功率不够等</t>
  </si>
  <si>
    <t>ENBHI35</t>
  </si>
  <si>
    <t>RRU.CceTotalUl</t>
  </si>
  <si>
    <t>上行CCE总分配次数</t>
  </si>
  <si>
    <t>统计周期内，同一小区PDCCH中用于上行调度的CCE分配总次数</t>
  </si>
  <si>
    <t>ENBHI36</t>
  </si>
  <si>
    <t>RRU.CceFailureDl</t>
  </si>
  <si>
    <t>下行CCE分配失败次数</t>
  </si>
  <si>
    <t>统计周期内，同一小区PDCCH中用于下行调度的CCE分配失败总次数；分配失败原因包括CCE资源不够，与现有用户存在位置冲突以及功率不够等</t>
  </si>
  <si>
    <t>ENBHI37</t>
  </si>
  <si>
    <t>RRU.CceTotalDl</t>
  </si>
  <si>
    <t>下行CCE总分配次数</t>
  </si>
  <si>
    <t>统计周期内，同一小区PDCCH中用于下行调度的CCE分配总次数</t>
  </si>
  <si>
    <t>ENBHI38</t>
  </si>
  <si>
    <t>RRU.PdcchPowerUsed</t>
  </si>
  <si>
    <t>PDCCH使用功率</t>
  </si>
  <si>
    <t>统计周期内累加每个子帧内分配计算PDCCH信道分配的功率。</t>
  </si>
  <si>
    <t>W</t>
  </si>
  <si>
    <t>ENBHI39</t>
  </si>
  <si>
    <t>RRU.PdcchPowerAvail</t>
  </si>
  <si>
    <t>PDCCH可用功率</t>
  </si>
  <si>
    <t>统计周期内累加每个子帧上PDCCH信道可用的总功率</t>
  </si>
  <si>
    <t>计算方式可按照PDCCH总功率=RRU的总功率-CRS功率-PHICH功率-PCFICH的功率</t>
  </si>
  <si>
    <t>ENBHI40</t>
  </si>
  <si>
    <t>RRU.TotalPrbUl._Mcs</t>
  </si>
  <si>
    <t>上行MCS为0-28阶使用的RB个数</t>
  </si>
  <si>
    <t>按照MCS0~28分别统计周期内上行PUSCH占用的物理资源块（PRB）数。</t>
  </si>
  <si>
    <t>当前针对64QAM MCS</t>
  </si>
  <si>
    <t>ENBHI41</t>
  </si>
  <si>
    <t>RRU.TotalPrbDl._Mcs</t>
  </si>
  <si>
    <t>下行MCS为0-28阶使用的RB个数</t>
  </si>
  <si>
    <t>按照MCS0~28分别统计周期内下行PDSCH占用的物理资源块（PRB）数。</t>
  </si>
  <si>
    <t>ENBHI42</t>
  </si>
  <si>
    <t>RRU.SrsPrbUsed._PeriodSrs</t>
  </si>
  <si>
    <t>区分周期上行SRS资源使用数</t>
  </si>
  <si>
    <t>区分SRS周期统计资源使用数，根据不同SRS周期，统计分配该周期上行SRS资源使用数，其中SRS周期包括{2, 5, 10, 20, 40, 80, 160, 320}ms</t>
  </si>
  <si>
    <t>ENBHI43</t>
  </si>
  <si>
    <t>RRU.SrsPrbAvail._PeriodSrs</t>
  </si>
  <si>
    <t>区分周期上行SRS资源可用数</t>
  </si>
  <si>
    <t>区分SRS周期统计资源可用数，根据不同SRS周期，统计分配该周期上行SRS资源可用数，包括单符号上SRS可容纳UE的数量和可用于传上行SRS的所有符号数（单符号上SRS可用数= 频域*梳齿*码分复用），其中SRS周期包括{2, 5, 10, 20, 40, 80, 160, 320}ms</t>
  </si>
  <si>
    <t>ENBHJ01</t>
  </si>
  <si>
    <t>SIG.SctpDataChunkSent</t>
  </si>
  <si>
    <t>SCTP偶联发送数据块数</t>
  </si>
  <si>
    <t xml:space="preserve">在SCTP偶联上发送的Data Chunk数，不计重发</t>
  </si>
  <si>
    <t xml:space="preserve">在发送SCTP数据包时统计。</t>
  </si>
  <si>
    <t xml:space="preserve">SctpAssoc</t>
  </si>
  <si>
    <t>ENBHJ02</t>
  </si>
  <si>
    <t>SIG.SctpDataChunkReceived</t>
  </si>
  <si>
    <t>SCTP偶联接收的数据块数</t>
  </si>
  <si>
    <t xml:space="preserve">在SCTP偶联上接收的Data Chunk数</t>
  </si>
  <si>
    <t xml:space="preserve">在接收SCTP数据包时统计。</t>
  </si>
  <si>
    <t>ENBHJ03</t>
  </si>
  <si>
    <t>SIG.SctpDataChunkReSent</t>
  </si>
  <si>
    <t>SCTP偶联重发数据块数</t>
  </si>
  <si>
    <t xml:space="preserve">在SCTP偶联上重发的DataChunk数目。</t>
  </si>
  <si>
    <t>ENBHJ04</t>
  </si>
  <si>
    <t>SIG.SctpCongestionDuration</t>
  </si>
  <si>
    <t>SCTP偶联拥塞时长</t>
  </si>
  <si>
    <t xml:space="preserve">有效SCTP偶联处理量超过承载能力的时长</t>
  </si>
  <si>
    <t xml:space="preserve">在一个测量周期内，累积SCTP偶联处于拥塞状态时长</t>
  </si>
  <si>
    <t xml:space="preserve">DER（n=1）</t>
  </si>
  <si>
    <t xml:space="preserve">秒</t>
  </si>
  <si>
    <t>CB条件：传输异常或故障场景</t>
  </si>
  <si>
    <t>ENBHJ05</t>
  </si>
  <si>
    <t>SIG.NbrSctpCongestion</t>
  </si>
  <si>
    <t>SCTP偶联拥塞次数</t>
  </si>
  <si>
    <t xml:space="preserve">统计SCTP偶联进入拥塞状态的次数</t>
  </si>
  <si>
    <t xml:space="preserve">在一个测量周期内，在SCTP偶联进入拥塞状态时统计</t>
  </si>
  <si>
    <t>ENBHJ06</t>
  </si>
  <si>
    <t>SIG.SctpUnavailableDuration</t>
  </si>
  <si>
    <t>SCTP偶联不可用时长</t>
  </si>
  <si>
    <t xml:space="preserve">SCTP偶联处于故障、闭塞或未激活等不可用状态的时长</t>
  </si>
  <si>
    <t xml:space="preserve">在一个测量周期内，累积SCTP偶联不在服务状态时长</t>
  </si>
  <si>
    <t>ENBHJ07</t>
  </si>
  <si>
    <t>SIG.NbrSctpUnavailable</t>
  </si>
  <si>
    <t>SCTP偶联不可用次数</t>
  </si>
  <si>
    <t xml:space="preserve">统计SCTP偶联中断次数，SCTP退服务时统计</t>
  </si>
  <si>
    <t xml:space="preserve">在一个测量周期内，累积SCTP偶联不在服务状态次数	</t>
  </si>
  <si>
    <t>ENBHK01</t>
  </si>
  <si>
    <t>EQPT.MacOctSent</t>
  </si>
  <si>
    <t>以太网端口发送的字节数</t>
  </si>
  <si>
    <t xml:space="preserve">计算统计周期内以太网物理端口MAC层发送的PDU字节数</t>
  </si>
  <si>
    <t xml:space="preserve">无</t>
  </si>
  <si>
    <t xml:space="preserve">实型</t>
  </si>
  <si>
    <t xml:space="preserve">MByte</t>
  </si>
  <si>
    <t xml:space="preserve">EthernetPort</t>
  </si>
  <si>
    <t>1MByte=10^6Byte,不等于1024*1024Byte。</t>
  </si>
  <si>
    <t>ENBHK02</t>
  </si>
  <si>
    <t>EQPT.MacOctRecieved</t>
  </si>
  <si>
    <t>以太网端口接收的字节数</t>
  </si>
  <si>
    <t xml:space="preserve">计算统计周期内以太网物理端口MAC层接收的PDU字节数</t>
  </si>
  <si>
    <t>ENBHL01</t>
  </si>
  <si>
    <t>S1.IncNbrOctGtpU</t>
  </si>
  <si>
    <t>eNB的S1接口接收业务数据量</t>
  </si>
  <si>
    <t xml:space="preserve">统计eNB S1接口GTP层用户平面接收的数据量。</t>
  </si>
  <si>
    <t xml:space="preserve">统计eNB S1接口接收到的GTP-U层SDU字节数。</t>
  </si>
  <si>
    <t xml:space="preserve">EpRpDynS1uEnb</t>
  </si>
  <si>
    <t>ENBHL02</t>
  </si>
  <si>
    <t>S1.OutNbrOctGtpU</t>
  </si>
  <si>
    <t>eNB的S1接口发送业务数据量</t>
  </si>
  <si>
    <t xml:space="preserve">统计eNB S1接口GTP层用户平面发送的数据量。</t>
  </si>
  <si>
    <t xml:space="preserve">统计eNB S1接口发送的GTP-U层SDU 字节数。</t>
  </si>
  <si>
    <t>Mbyte</t>
  </si>
  <si>
    <t>ENBHL03</t>
  </si>
  <si>
    <t>S1.SentDiagosisTotalPacket</t>
  </si>
  <si>
    <t>eNB发送诊断包数目</t>
  </si>
  <si>
    <t>统计eNB S1接口发送诊断协议（如TWAMP或ping ）包数目</t>
  </si>
  <si>
    <t>eNB S1接口每次发送诊断包</t>
  </si>
  <si>
    <t>CB条件：对端IP层传输设备配合开启对应功能</t>
  </si>
  <si>
    <t>ENBHL04</t>
  </si>
  <si>
    <t>S1.ReceivedDiagosisTotalPacket</t>
  </si>
  <si>
    <t>eNB接收到诊断包数目</t>
  </si>
  <si>
    <t>统计eNB S1接口成功接收对应响应诊断协议（如TWAMP或ping ）包数目</t>
  </si>
  <si>
    <t>eNB S1接口每次成功接收对应响应的诊断协议包</t>
  </si>
  <si>
    <t>ENBHL05</t>
  </si>
  <si>
    <t>S1.DiagosisPacketTotalDelay</t>
  </si>
  <si>
    <t>eNB诊断包环回总时延</t>
  </si>
  <si>
    <t>统计eNB 从S1接口发送诊断包到S1接口成功接收对应响应诊断包（如TWAMP或ping ）的累计时延</t>
  </si>
  <si>
    <t>eNB S1接口发送诊断协议包到S1接口成功接收对应响应的诊断协议（如ping ）包的时延</t>
  </si>
  <si>
    <t>平均时延=eNB诊断包环回总时延/eNB接收到诊断包数目
CB条件：对端IP层传输设备配合开启对应功能</t>
  </si>
  <si>
    <t>ENBHL06</t>
  </si>
  <si>
    <t>S1.DiagosisPacketTotalJitter</t>
  </si>
  <si>
    <t>eNB诊断包总抖动时长</t>
  </si>
  <si>
    <t>统计eNB 从S1接口发送诊断协议包到S1接口成功接收对应响应诊断协议包（如TWAMP或ping ）的时延变化值总和</t>
  </si>
  <si>
    <t>统计（n，n+1）相邻两个诊断包时延的差值（绝对值），累计求和。</t>
  </si>
  <si>
    <t>平均抖动=eNB诊断包总抖动时长/（eNB接收到诊断包数目-1）
CB条件：对端IP层传输设备配合开启对应功能</t>
  </si>
  <si>
    <t>ENBHM01</t>
  </si>
  <si>
    <t>MAC.NbrTbUl</t>
  </si>
  <si>
    <t>上行传输TB数</t>
  </si>
  <si>
    <t>统计小区上行传输的TB(Transport Block)数，包括重传的TB。单独统计包含QCI1和QCI2的上行传输TB数作为语音调度上行TB块总数。</t>
  </si>
  <si>
    <t>eNB收到TB时计数。</t>
  </si>
  <si>
    <t>MAC.NbrTbUl.eMTC</t>
  </si>
  <si>
    <t>eMTC终端上行传输TB数</t>
  </si>
  <si>
    <t>MAC.NbrTbUl.1</t>
  </si>
  <si>
    <t>语音调度上行TB块总数</t>
  </si>
  <si>
    <t>MAC.NbrTbUl.2</t>
  </si>
  <si>
    <t>QCI2承载调度上行TB块总数</t>
  </si>
  <si>
    <t>ENBHM02</t>
  </si>
  <si>
    <t>MAC.NbrInitTbUl</t>
  </si>
  <si>
    <t>上行传输初始TB数</t>
  </si>
  <si>
    <t>统计小区上行传输的初始TB(Transport Block)数。初始TB相对于重传TB而言，即第一次提交传输的TB。并区分调制方式分别统计。单独统计QCI=1的上行传输初始TB数。</t>
  </si>
  <si>
    <t>eNB收到初始TB时计数。
(注：eNB通过是否为上行传输调度了资源了解是否应收到TB）</t>
  </si>
  <si>
    <t>MAC.NbrInitTbUl.1</t>
  </si>
  <si>
    <t>QCI=1上行传输初始TB数</t>
  </si>
  <si>
    <t>MAC.NbrInitTbUl.Qpsk</t>
  </si>
  <si>
    <t>QPSK模式上行传输初始TB数</t>
  </si>
  <si>
    <t>MAC.NbrInitTbUl.16Qam</t>
  </si>
  <si>
    <t>16QAM模式上行传输初始TB数</t>
  </si>
  <si>
    <t>MAC.NbrInitTbUl.64Qam</t>
  </si>
  <si>
    <t>64QAM模式上行传输初始TB数</t>
  </si>
  <si>
    <t>ENBHM03</t>
  </si>
  <si>
    <t>MAC.NbrSuccInitTbUl</t>
  </si>
  <si>
    <t>上行成功传输初始TB数</t>
  </si>
  <si>
    <t>统计小区上行成功接收到的初始TB，并区分调制方式式分别进行统计。单独统计QCI=1的情况。</t>
  </si>
  <si>
    <t>eNB成功接收到初始TB时计数。</t>
  </si>
  <si>
    <t>MAC.NbrSuccInitTbUl.Qpsk</t>
  </si>
  <si>
    <t>QPSK模式上行成功传输初始TB数</t>
  </si>
  <si>
    <t>MAC.NbrSuccInitTbUl.16Qam</t>
  </si>
  <si>
    <t>16QAM模式上行成功传输初始TB数</t>
  </si>
  <si>
    <t>MAC.NbrSuccInitTbUl.64Qam</t>
  </si>
  <si>
    <t>64QAM模式上行成功传输初始TB数</t>
  </si>
  <si>
    <t>MAC.NbrSuccInitTbUl.Qpsk.1</t>
  </si>
  <si>
    <t>QCI=1的QPSK模式上行成功传输初始TB数</t>
  </si>
  <si>
    <t>MAC.NbrSuccInitTbUl.16Qam.1</t>
  </si>
  <si>
    <t>QCI=1的16QAM模式上行成功传输初始TB数</t>
  </si>
  <si>
    <t>MAC.NbrSuccInitTbUl.64Qam.1</t>
  </si>
  <si>
    <t>QCI=1的64QAM模式上行成功传输初始TB数</t>
  </si>
  <si>
    <t>ENBHM04</t>
  </si>
  <si>
    <t>MAC.NbrResErrTbUl</t>
  </si>
  <si>
    <t>上行残留错误TB数</t>
  </si>
  <si>
    <t xml:space="preserve">统计上行初始传输的TB中，经过HARQ重传之后仍然传输错误的数目
</t>
  </si>
  <si>
    <t>初始TB经过HARQ重传后仍错误时计数</t>
  </si>
  <si>
    <t>ENBHM05</t>
  </si>
  <si>
    <t>MAC.NbrTbDl</t>
  </si>
  <si>
    <t>下行传输TB数</t>
  </si>
  <si>
    <t>统计小区下行传输的TB(Transport Block)数，包括重传的TB。单独统计包含QCI1和QCI2的小区下行传输的TB数作为语音调度下行TB块总数。
分开统计Rank1和Rank2模式下的小区下行传输的TB数。
统计不同TM传输模式下小区下行传输的TB数。
注：1、TM5～8下行传输TB数统计仅EutranCellTdd小区支持
    2、eMTC仅支持TM1/2/6/9
    3、eMTC仅支持RANK1</t>
  </si>
  <si>
    <t>eNB发送TB时计数</t>
  </si>
  <si>
    <t>MAC.NbrTbDl.eMTC</t>
  </si>
  <si>
    <t>eMTC终端下行传输TB数</t>
  </si>
  <si>
    <t>MAC.NbrTbDl.1</t>
  </si>
  <si>
    <t>语音调度下行TB块总数</t>
  </si>
  <si>
    <t>MAC.NbrTbDl.2</t>
  </si>
  <si>
    <t>QCI2承载调度下行TB块总数</t>
  </si>
  <si>
    <t>MAC.NbrTbDl.Rank1</t>
  </si>
  <si>
    <t>单流下行传输TB数</t>
  </si>
  <si>
    <t>MAC.NbrTbDl.Rank2</t>
  </si>
  <si>
    <t>双流下行传输TB数</t>
  </si>
  <si>
    <t>MAC.NbrTbDl.Tm1</t>
  </si>
  <si>
    <t>TM1下行传输TB数</t>
  </si>
  <si>
    <t>MAC.NbrTbDl.Tm2</t>
  </si>
  <si>
    <t>TM2下行传输TB数</t>
  </si>
  <si>
    <t>MAC.NbrTbDl.Tm3</t>
  </si>
  <si>
    <t>TM3下行传输TB数</t>
  </si>
  <si>
    <t>MAC.NbrTbDl.Tm4</t>
  </si>
  <si>
    <t>TM4下行传输TB数</t>
  </si>
  <si>
    <t>MAC.NbrTbDl.Tm5</t>
  </si>
  <si>
    <t>TM5下行传输TB数</t>
  </si>
  <si>
    <t>MAC.NbrTbDl.Tm6</t>
  </si>
  <si>
    <t>TM6下行传输TB数</t>
  </si>
  <si>
    <t>MAC.NbrTbDl.Tm7</t>
  </si>
  <si>
    <t>TM7下行传输TB数</t>
  </si>
  <si>
    <t>MAC.NbrTbDl.Tm8</t>
  </si>
  <si>
    <t>TM8下行传输TB数</t>
  </si>
  <si>
    <t>MAC.NbrTbDl.Tm9</t>
  </si>
  <si>
    <t>TM9下行传输TB数</t>
  </si>
  <si>
    <t>CB条件：开启TM9功能</t>
  </si>
  <si>
    <t>ENBHM06</t>
  </si>
  <si>
    <t>MAC.NbrInitTbDl</t>
  </si>
  <si>
    <t>下行传输初始TB数</t>
  </si>
  <si>
    <t>统计小区下行传输的初始TB(Transport Block)数（含SRB和DRB）。初始TB相对于重传TB而言，即第一次提交传输的TB。按调制方式分别进行统计。单独统计QCI=1的下行传输初始TB数。</t>
  </si>
  <si>
    <t>eNB发送初始TB时计数</t>
  </si>
  <si>
    <t>MAC.NbrInitTbDl.1</t>
  </si>
  <si>
    <t>QCI=1下行传输初始TB数</t>
  </si>
  <si>
    <t>MAC.NbrInitTbDl.Qpsk</t>
  </si>
  <si>
    <t>QPSK模式下行传输初始TB数</t>
  </si>
  <si>
    <t>MAC.NbrInitTbDl.16Qam</t>
  </si>
  <si>
    <t>16QAM模式下行传输初始TB数</t>
  </si>
  <si>
    <t>MAC.NbrInitTbDl.64Qam</t>
  </si>
  <si>
    <t>64QAM模式下行传输初始TB数</t>
  </si>
  <si>
    <t>MAC.NbrInitTbDl.256Qam</t>
  </si>
  <si>
    <t>256QAM模式下行传输初始TB数</t>
  </si>
  <si>
    <t>CB条件：开启256QAM功能</t>
  </si>
  <si>
    <t>ENBHM07</t>
  </si>
  <si>
    <t>MAC.NbrSuccInitTbDl</t>
  </si>
  <si>
    <t>下行成功传输初始TB数</t>
  </si>
  <si>
    <t>统计小区下行成功发送的初始TB，并区分调制方式式分别进行统计。单独统计QCI=1的情况。</t>
  </si>
  <si>
    <t>初始TB发送成功时计数。</t>
  </si>
  <si>
    <t>MAC.NbrSuccInitTbDl.Qpsk</t>
  </si>
  <si>
    <t>QPSK模式下行成功传输初始TB数</t>
  </si>
  <si>
    <t>MAC.NbrSuccInitTbDl.16Qam</t>
  </si>
  <si>
    <t>16QAM模式下行成功传输初始TB数</t>
  </si>
  <si>
    <t>MAC.NbrSuccInitTbDl.64Qam</t>
  </si>
  <si>
    <t>64QAM模式下行成功传输初始TB数</t>
  </si>
  <si>
    <t>MAC.NbrSuccInitTbDl.256Qam</t>
  </si>
  <si>
    <t>256QAM模式下行成功传输初始TB数</t>
  </si>
  <si>
    <t>MAC.NbrSuccInitTbDl.Qpsk.1</t>
  </si>
  <si>
    <t>QCI=1的QPSK模式下行成功传输初始TB数</t>
  </si>
  <si>
    <t>MAC.NbrSuccInitTbDl.16Qam.1</t>
  </si>
  <si>
    <t>QCI=1的16QAM模式下行成功传输初始TB数</t>
  </si>
  <si>
    <t>MAC.NbrSuccInitTbDl.64Qam.1</t>
  </si>
  <si>
    <t>QCI=1的64QAM模式下行成功传输初始TB数</t>
  </si>
  <si>
    <t>MAC.NbrSuccInitTbDl.256Qam.1</t>
  </si>
  <si>
    <t>QCI=1的256QAM模式下行成功传输初始TB数</t>
  </si>
  <si>
    <t>ENBHM08</t>
  </si>
  <si>
    <t>MAC.NbrResErrTbDl</t>
  </si>
  <si>
    <t>下行残留错误TB数</t>
  </si>
  <si>
    <t xml:space="preserve">统计下行初始传输的TB中，经过HARQ重传之后仍然传输错误的数目
</t>
  </si>
  <si>
    <t>ENBHM09</t>
  </si>
  <si>
    <t>MAC.NbrSpsTbUl.1</t>
  </si>
  <si>
    <t>语音半持续调度上行初传TB块数</t>
  </si>
  <si>
    <t>上行半持续调度QCI1初始传输TB块数。与上行半持续调度次数相等。</t>
  </si>
  <si>
    <t>eNB收到半持续调度的QCI1初始传输TB块时计数</t>
  </si>
  <si>
    <t>CB条件：开启VOLTE语音SPS半静态调度</t>
  </si>
  <si>
    <t>ENBHM10</t>
  </si>
  <si>
    <t>MAC.NbrSpsTbDl.1</t>
  </si>
  <si>
    <t>语音半持续调度下行初传TB块数</t>
  </si>
  <si>
    <t>下行半持续调度QCI1初始传输TB块数。与下行半持续调度次数相等。</t>
  </si>
  <si>
    <t>eNB发送半持续调度的QCI1初始传输TB块时计数</t>
  </si>
  <si>
    <t>ENBHM11</t>
  </si>
  <si>
    <t>MAC.MaxSchUeUl</t>
  </si>
  <si>
    <t>上行调度的最大UE数目</t>
  </si>
  <si>
    <t>每TTI调度的上行UE数目，统计周期求最大值。</t>
  </si>
  <si>
    <t>ENBHM12</t>
  </si>
  <si>
    <t>MAC.MaxSchUeDl</t>
  </si>
  <si>
    <t>下行调度的最大UE数目</t>
  </si>
  <si>
    <t>每TTI调度的下行UE数目，统计周期求最大值。</t>
  </si>
  <si>
    <t>ENBHM13</t>
  </si>
  <si>
    <t>MAC.NbrRbDl.Tm2</t>
  </si>
  <si>
    <t>TM2下行传输RB数</t>
  </si>
  <si>
    <t>统计小区下行传输的RB(Radio Block)数，包括重传的RB。分开统计SFBC,Rank1~Rank4模式下的小区下行传输的RB数。
注：1、TM5～8下行传输RB数统计仅EutranCellTdd小区支持
    2、eMTC仅支持TM1/2/6/9</t>
  </si>
  <si>
    <t>eNB发送RB时计数</t>
  </si>
  <si>
    <t>MAC.NbrRbDl.Tm3.SFBC</t>
  </si>
  <si>
    <t>TM3下行传输SFBC RB数</t>
  </si>
  <si>
    <t>MAC.NbrRbDl.Tm3.SM</t>
  </si>
  <si>
    <t>TM3下行传输SM RB数</t>
  </si>
  <si>
    <t>MAC.NbrRbDl.Tm4.SFBC</t>
  </si>
  <si>
    <t>TM4下行传输SFBC RB数</t>
  </si>
  <si>
    <t>MAC.NbrRbDl.Tm4.SM</t>
  </si>
  <si>
    <t>TM4下行传输SM RB数</t>
  </si>
  <si>
    <t>MAC.NbrRbDl.Tm7</t>
  </si>
  <si>
    <t>TM7下行传输RB数</t>
  </si>
  <si>
    <t>MAC.NbrRbDl.Tm8.SFBC</t>
  </si>
  <si>
    <t>TM8下行传输SFBC RB数</t>
  </si>
  <si>
    <t>MAC.NbrRbDl.Tm8.RANK1BF</t>
  </si>
  <si>
    <t>TM8下行传输RANK1RB数</t>
  </si>
  <si>
    <t>MAC.NbrRbDl.Tm8.RANK2BF</t>
  </si>
  <si>
    <t>TM8下行传输RANK2RB数</t>
  </si>
  <si>
    <t>MAC.NbrRbDl.Tm9.SFBC</t>
  </si>
  <si>
    <t>TM9下行传输SFBC RB数</t>
  </si>
  <si>
    <t>MAC.NbrRbDl.Tm9.RANK1BF</t>
  </si>
  <si>
    <t>TM9下行传输RANK1RB数</t>
  </si>
  <si>
    <t>MAC.NbrRbDl.Tm9.RANK2BF</t>
  </si>
  <si>
    <t>TM9下行传输RANK2RB数</t>
  </si>
  <si>
    <t>MAC.NbrRbDl.Tm9.RANK3BF</t>
  </si>
  <si>
    <t>TM9下行传输RANK3RB数</t>
  </si>
  <si>
    <t>MAC.NbrRbDl.Tm9.RANK4BF</t>
  </si>
  <si>
    <t>TM9下行传输RANK4RB数</t>
  </si>
  <si>
    <t>ENBHM14</t>
  </si>
  <si>
    <t>MAC.NbrRbUlMassiveMimoSM._Stream</t>
  </si>
  <si>
    <t>MassiveMIMO上行传输RB数</t>
  </si>
  <si>
    <t>按不同流数统计MassiveMIMO上行传输的RB(Radio Block)数，包括重传RB。（如：支持16流的，统计非空分复用的RB数～统计16流空分复用的RB数。）按频域进行统计，如2个流复用一个RB，计为一个RB.
注：对于非配对（MU-MIMO）下，单流和双流占用的RB数均应统计为非空分复用RB数。</t>
  </si>
  <si>
    <t>eNB接收RB时计数</t>
  </si>
  <si>
    <t>CB条件：开启MassiveMIMO时，进行相关统计</t>
  </si>
  <si>
    <t>ENBHM15</t>
  </si>
  <si>
    <t>MAC.NbrRbDlMassiveMimoSM._Stream</t>
  </si>
  <si>
    <t>MassiveMIMO下行传输RB数</t>
  </si>
  <si>
    <t>按不同流数统计MassiveMIMO下行传输的RB(Radio Block)数，包括重传RB。（如：支持16流的，统计非空分复用的RB数～统计16流空分复用的RB数。）按频域进行统计，如2个流复用一个RB，计为一个RB.
注：对于非配对（MU-MIMO）下，单流和双流占用的RB数均应统计为非空分复用RB数。</t>
  </si>
  <si>
    <t>ENBHM16</t>
  </si>
  <si>
    <t>MAC.NbrErrTbUlMassiveMimoSM._Stream</t>
  </si>
  <si>
    <t>MassiveMIMO上行错误TB总数</t>
  </si>
  <si>
    <t>按不同流数统计MassiveMIMO上行MAC层传输错误的TB(Transport Block)总数（包括重传）.（如：支持16流的，统计非空分复用MAC层传输错误TB总数～统计16流空分复用错误TB总数。）按TB映射的最大复用层数来计算。
注：对于非配对（MU-MIMO）下，单流和双流传输的TB数均应统计为非空分复用TB数。</t>
  </si>
  <si>
    <t>ENBHM17</t>
  </si>
  <si>
    <t>MAC.NbrErrTbDlMassiveMimoSM._Stream</t>
  </si>
  <si>
    <t>MassiveMIMO下行传输错误TB总数</t>
  </si>
  <si>
    <t>按不同流数统计MassiveMIMO下行MAC层传输错误的TB(Transport Block)总数（包括重传）.（如：支持16流的，统计非空分复用MAC层传输错误TB总数～统计16流空分复用错误TB总数。）按TB映射的最大复用层数来计算。
注：对于非配对（MU-MIMO）下，单流和双流传输的TB数均应统计为非空分复用TB数。</t>
  </si>
  <si>
    <t>ENBHM18</t>
  </si>
  <si>
    <t>MAC.NbrTbUlMassiveMimoSM._Stream</t>
  </si>
  <si>
    <t>MassiveMIMO上行传输TB总数</t>
  </si>
  <si>
    <t>按不同流数统计MassiveMIMO上行MAC层传输的TB(Transport Block)数，包括重传的TB.（如：支持16流的，统计非空分复用MAC层传输的TB总数～统计16流空分复用的TB总数。）按TB映射的最大复用层数来计算。
注：对于非配对（MU-MIMO）下，单流和双流传输的TB数均应统计为非空分复用TB数。</t>
  </si>
  <si>
    <t>ENBHM19</t>
  </si>
  <si>
    <t>MAC.NbrTbDlMassiveMimoSM._Stream</t>
  </si>
  <si>
    <t>MassiveMIMO下行传输TB总数</t>
  </si>
  <si>
    <t>按不同流数统计MassiveMIMO下行MAC层传输的TB(Transport Block)数，包括重传的TB.（如：支持16流的，统计非空分复用MAC层传输的TB总数～统计16流空分复用的TB总数。）按TB映射的最大复用层数来计算。
注：对于非配对（MU-MIMO）下，单流和双流传输的TB数均应统计为非空分复用TB数。</t>
  </si>
  <si>
    <t>ENBHM20</t>
  </si>
  <si>
    <t>MAC.OctUlMassiveMimoSM._Stream</t>
  </si>
  <si>
    <t>MassiveMIMO上行传输成功字节数</t>
  </si>
  <si>
    <t>按不同流数统计MassiveMIMO上行MAC层传输成功的字节数.（如：支持16流的，统计非空分复用MAC层传输成功的字节数～统计16流空分复用的MAC层传输成功的字节数。）
注：对于非配对（MU-MIMO）下，单流和双流成功传输的字节数应统计为非空分字节数。</t>
  </si>
  <si>
    <t>注1：1KByte=1000Byte
注2：CB条件：开启MassiveMIMO时，进行相关统计</t>
  </si>
  <si>
    <t>ENBHM21</t>
  </si>
  <si>
    <t>MAC.OctDlMassiveMimoSM._Stream</t>
  </si>
  <si>
    <t>MassiveMIMO下行传输成功字节数</t>
  </si>
  <si>
    <t>按不同流数统计MassiveMIMO下行MAC层传输成功的字节数.（如：支持16流的，统计非空分复用MAC层传输成功的字节数～统计16流空分复用的MAC层传输成功的字节数。）
注：对于非配对（MU-MIMO）下，单流和双流成功传输的字节数应统计为非空分字节数。</t>
  </si>
  <si>
    <t>ENBHM22</t>
  </si>
  <si>
    <t>MAC.CpOctUl</t>
  </si>
  <si>
    <t>小区MAC层传输成功的上行流量</t>
  </si>
  <si>
    <t>在测量周期内，累加小区通过空口成功接收的MAC层字节数，即小区MAC层从下层接收到的字节数。</t>
  </si>
  <si>
    <t>ENBHM23</t>
  </si>
  <si>
    <t>MAC.CpOctDl</t>
  </si>
  <si>
    <t>小区MAC层传输成功的下行流量</t>
  </si>
  <si>
    <t>在测量周期内，累加小区MAC层通过空口成功发送的字节数，统计小区MAC层向下层发送的字节数。成功发送定义为收到UE对MAC层数据的最后一个分片的ACK确认。</t>
  </si>
  <si>
    <t>ENBHM24</t>
  </si>
  <si>
    <t>MAC.CpOctPcellUl</t>
  </si>
  <si>
    <t>CA用户在Pcell MAC层产生传输成功的上行流量</t>
  </si>
  <si>
    <t>在测量周期内，针对激活辅载波的CA用户，累加其通过空口成功上传的MAC层字节数</t>
  </si>
  <si>
    <t>MAC CE触发的激活/去激活</t>
  </si>
  <si>
    <t>ENBHM25</t>
  </si>
  <si>
    <t>MAC.CpOctPcellDl</t>
  </si>
  <si>
    <t>CA用户在Pcell MAC层产生传输成功的下行流量</t>
  </si>
  <si>
    <t>在测量周期内，针对激活辅载波的CA用户,累加小区MAC层通过空口成功发送给目标用户的字节数。成功发送定义为收到目标UE对MAC层数据的最后一个分片的ACK确认。</t>
  </si>
  <si>
    <t>ENBHM26</t>
  </si>
  <si>
    <t>MAC.CpOctScellUl</t>
  </si>
  <si>
    <t>Scell CA用户在本小区MAC层产生传输成功的上行流量</t>
  </si>
  <si>
    <t>在测量周期内，针对将服务小区激活辅载波的CA用户，累加其通过空口成功上传的MAC层字节数</t>
  </si>
  <si>
    <t>ENBHM27</t>
  </si>
  <si>
    <t>MAC.CpOctScellDl</t>
  </si>
  <si>
    <t>Scell CA用户在本小区MAC层产生传输成功的下行流量</t>
  </si>
  <si>
    <t>ENBHN01</t>
  </si>
  <si>
    <t>PHY.NbrCqi0</t>
  </si>
  <si>
    <t>值为0的CQI数</t>
  </si>
  <si>
    <t>小区收到的UE上报的CQI中，值为0的个数,见3GPP TS 36.213。在载波聚合场景下，若SCell的CQI经PCell的PUCCH上报，则CQI应计入Scell而不是Pcell的统计。空间复用条件下,一次上报两个码字的CQI分别计数。</t>
  </si>
  <si>
    <t>eNB收到CQI</t>
  </si>
  <si>
    <r>
      <rPr>
        <sz val="10"/>
        <rFont val="宋体"/>
        <charset val="134"/>
      </rPr>
      <t>ENBHN02</t>
    </r>
  </si>
  <si>
    <t>PHY.NbrCqi1</t>
  </si>
  <si>
    <t>值为1的CQI数</t>
  </si>
  <si>
    <t>小区收到的UE上报的CQI中，值为1的个数,见3GPP TS 36.213。在载波聚合场景下，若SCell的CQI经PCell的PUCCH上报，则CQI应计入Scell而不是Pcell的统计。空间复用条件下,一次上报两个码字的CQI分别计数。</t>
  </si>
  <si>
    <r>
      <rPr>
        <sz val="10"/>
        <rFont val="宋体"/>
        <charset val="134"/>
      </rPr>
      <t>ENBHN03</t>
    </r>
  </si>
  <si>
    <t>PHY.NbrCqi2</t>
  </si>
  <si>
    <t>值为2的CQI数</t>
  </si>
  <si>
    <t>小区收到的UE上报的CQI中，值为2的个数,见3GPP TS 36.213。在载波聚合场景下，若SCell的CQI经PCell的PUCCH上报，则CQI应计入Scell而不是Pcell的统计。空间复用条件下,一次上报两个码字的CQI分别计数。</t>
  </si>
  <si>
    <r>
      <rPr>
        <sz val="10"/>
        <rFont val="宋体"/>
        <charset val="134"/>
      </rPr>
      <t>ENBHN04</t>
    </r>
  </si>
  <si>
    <t>PHY.NbrCqi3</t>
  </si>
  <si>
    <t>值为3的CQI数</t>
  </si>
  <si>
    <t>小区收到的UE上报的CQI中，值为3的个数,见3GPP TS 36.213。在载波聚合场景下，若SCell的CQI经PCell的PUCCH上报，则CQI应计入Scell而不是Pcell的统计。空间复用条件下,一次上报两个码字的CQI分别计数。</t>
  </si>
  <si>
    <r>
      <rPr>
        <sz val="10"/>
        <rFont val="宋体"/>
        <charset val="134"/>
      </rPr>
      <t>ENBHN05</t>
    </r>
  </si>
  <si>
    <t>PHY.NbrCqi4</t>
  </si>
  <si>
    <t>值为4的CQI数</t>
  </si>
  <si>
    <t>小区收到的UE上报的CQI中，值为4的个数,见3GPP TS 36.213。在载波聚合场景下，若SCell的CQI经PCell的PUCCH上报，则CQI应计入Scell而不是Pcell的统计。空间复用条件下,一次上报两个码字的CQI分别计数。</t>
  </si>
  <si>
    <r>
      <rPr>
        <sz val="10"/>
        <rFont val="宋体"/>
        <charset val="134"/>
      </rPr>
      <t>ENBHN06</t>
    </r>
  </si>
  <si>
    <t>PHY.NbrCqi5</t>
  </si>
  <si>
    <t>值为5的CQI数</t>
  </si>
  <si>
    <t>小区收到的UE上报的CQI中，值为5的个数,见3GPP TS 36.213。在载波聚合场景下，若SCell的CQI经PCell的PUCCH上报，则CQI应计入Scell而不是Pcell的统计。空间复用条件下,一次上报两个码字的CQI分别计数。</t>
  </si>
  <si>
    <r>
      <rPr>
        <sz val="10"/>
        <rFont val="宋体"/>
        <charset val="134"/>
      </rPr>
      <t>ENBHN07</t>
    </r>
  </si>
  <si>
    <t>PHY.NbrCqi6</t>
  </si>
  <si>
    <t>值为6的CQI数</t>
  </si>
  <si>
    <t>小区收到的UE上报的CQI中，值为6的个数,见3GPP TS 36.213。在载波聚合场景下，若SCell的CQI经PCell的PUCCH上报，则CQI应计入Scell而不是Pcell的统计。空间复用条件下,一次上报两个码字的CQI分别计数。</t>
  </si>
  <si>
    <r>
      <rPr>
        <sz val="10"/>
        <rFont val="宋体"/>
        <charset val="134"/>
      </rPr>
      <t>ENBHN08</t>
    </r>
  </si>
  <si>
    <t>PHY.NbrCqi7</t>
  </si>
  <si>
    <t>值为7的CQI数</t>
  </si>
  <si>
    <t>小区收到的UE上报的CQI中，值为7的个数,见3GPP TS 36.213。在载波聚合场景下，若SCell的CQI经PCell的PUCCH上报，则CQI应计入Scell而不是Pcell的统计。空间复用条件下,一次上报两个码字的CQI分别计数。</t>
  </si>
  <si>
    <r>
      <rPr>
        <sz val="10"/>
        <rFont val="宋体"/>
        <charset val="134"/>
      </rPr>
      <t>ENBHN09</t>
    </r>
  </si>
  <si>
    <t>PHY.NbrCqi8</t>
  </si>
  <si>
    <t>值为8的CQI数</t>
  </si>
  <si>
    <t>小区收到的UE上报的CQI中，值为8的个数,见3GPP TS 36.213。在载波聚合场景下，若SCell的CQI经PCell的PUCCH上报，则CQI应计入Scell而不是Pcell的统计。空间复用条件下,一次上报两个码字的CQI分别计数。</t>
  </si>
  <si>
    <r>
      <rPr>
        <sz val="10"/>
        <rFont val="宋体"/>
        <charset val="134"/>
      </rPr>
      <t>ENBHN10</t>
    </r>
  </si>
  <si>
    <t>PHY.NbrCqi9</t>
  </si>
  <si>
    <t>值为9的CQI数</t>
  </si>
  <si>
    <t>小区收到的UE上报的CQI中，值为9的个数,见3GPP TS 36.213。在载波聚合场景下，若SCell的CQI经PCell的PUCCH上报，则CQI应计入Scell而不是Pcell的统计。空间复用条件下,一次上报两个码字的CQI分别计数。</t>
  </si>
  <si>
    <r>
      <rPr>
        <sz val="10"/>
        <rFont val="宋体"/>
        <charset val="134"/>
      </rPr>
      <t>ENBHN11</t>
    </r>
  </si>
  <si>
    <t>PHY.NbrCqi10</t>
  </si>
  <si>
    <t>值为10的CQI数</t>
  </si>
  <si>
    <t>小区收到的UE上报的CQI中，值为10的个数,见3GPP TS 36.213。在载波聚合场景下，若SCell的CQI经PCell的PUCCH上报，则CQI应计入Scell而不是Pcell的统计。空间复用条件下,一次上报两个码字的CQI分别计数。</t>
  </si>
  <si>
    <r>
      <rPr>
        <sz val="10"/>
        <rFont val="宋体"/>
        <charset val="134"/>
      </rPr>
      <t>ENBHN12</t>
    </r>
  </si>
  <si>
    <t>PHY.NbrCqi11</t>
  </si>
  <si>
    <t>值为11的CQI数</t>
  </si>
  <si>
    <t>小区收到的UE上报的CQI中，值为11的个数,见3GPP TS 36.213。在载波聚合场景下，若SCell的CQI经PCell的PUCCH上报，则CQI应计入Scell而不是Pcell的统计。空间复用条件下,一次上报两个码字的CQI分别计数。</t>
  </si>
  <si>
    <r>
      <rPr>
        <sz val="10"/>
        <rFont val="宋体"/>
        <charset val="134"/>
      </rPr>
      <t>ENBHN13</t>
    </r>
  </si>
  <si>
    <t>PHY.NbrCqi12</t>
  </si>
  <si>
    <t>值为12的CQI数</t>
  </si>
  <si>
    <t>小区收到的UE上报的CQI中，值为12的个数,见3GPP TS 36.213。在载波聚合场景下，若SCell的CQI经PCell的PUCCH上报，则CQI应计入Scell而不是Pcell的统计。空间复用条件下,一次上报两个码字的CQI分别计数。</t>
  </si>
  <si>
    <r>
      <rPr>
        <sz val="10"/>
        <rFont val="宋体"/>
        <charset val="134"/>
      </rPr>
      <t>ENBHN14</t>
    </r>
  </si>
  <si>
    <t>PHY.NbrCqi13</t>
  </si>
  <si>
    <t>值为13的CQI数</t>
  </si>
  <si>
    <t>小区收到的UE上报的CQI中，值为13的个数,见3GPP TS 36.213。在载波聚合场景下，若SCell的CQI经PCell的PUCCH上报，则CQI应计入Scell而不是Pcell的统计。空间复用条件下,一次上报两个码字的CQI分别计数。</t>
  </si>
  <si>
    <r>
      <rPr>
        <sz val="10"/>
        <rFont val="宋体"/>
        <charset val="134"/>
      </rPr>
      <t>ENBHN15</t>
    </r>
  </si>
  <si>
    <t>PHY.NbrCqi14</t>
  </si>
  <si>
    <t>值为14的CQI数</t>
  </si>
  <si>
    <t>小区收到的UE上报的CQI中，值为14的个数,见3GPP TS 36.213。在载波聚合场景下，若SCell的CQI经PCell的PUCCH上报，则CQI应计入Scell而不是Pcell的统计。空间复用条件下,一次上报两个码字的CQI分别计数。</t>
  </si>
  <si>
    <r>
      <rPr>
        <sz val="10"/>
        <rFont val="宋体"/>
        <charset val="134"/>
      </rPr>
      <t>ENBHN16</t>
    </r>
  </si>
  <si>
    <t>PHY.NbrCqi15</t>
  </si>
  <si>
    <t>值为15的CQI数</t>
  </si>
  <si>
    <t>小区收到的UE上报的CQI中，值为15的个数,见3GPP TS 36.213。在载波聚合场景下，若SCell的CQI经PCell的PUCCH上报，则CQI应计入Scell而不是Pcell的统计。空间复用条件下,一次上报两个码字的CQI分别计数。</t>
  </si>
  <si>
    <t>ENBHN17</t>
  </si>
  <si>
    <t>PHY.ULMeanNL._PRB</t>
  </si>
  <si>
    <t>小区RB上行平均干扰电平</t>
  </si>
  <si>
    <t>采样统计每PRB上行干扰测量值（单位mW），计算采样周期内采样值的平均值（线性平均，参考36.214）。采样范围要覆盖到所有上行子帧（含特殊子帧）。采样间隔不超过5秒，每个RB单独统计。最后再转换成dBm进行上报。</t>
  </si>
  <si>
    <t>dBm</t>
  </si>
  <si>
    <t>北向接口文件格式为PHY.ULMeanNL.PRB0～PHY.ULMeanNL.PRB99。
备注：“超过带宽的PRB测量项不应参与计算”</t>
  </si>
  <si>
    <t>ENBHN18</t>
  </si>
  <si>
    <t>PHY.ULMaxNL._PRB</t>
  </si>
  <si>
    <t>小区RB上行最大干扰电平</t>
  </si>
  <si>
    <t>采样统计每PRB上行干扰测量值，计算采样周期内采样值的最大值。采样范围要覆盖所有上行子帧（含特殊子帧）。采样间隔不超过5秒，每个RB单独统计。</t>
  </si>
  <si>
    <t>北向接口文件格式为PHY.ULMaxNL.PRB0～PHY.ULMaxNL.PRB99。
备注：“超过带宽的PRB测量项不应参与计算”</t>
  </si>
  <si>
    <t>ENBHN19</t>
  </si>
  <si>
    <t>PHY.ULMeanNL</t>
  </si>
  <si>
    <t>小区上行平均干扰电平</t>
  </si>
  <si>
    <t>统计小区带宽内上行干扰的平均值。</t>
  </si>
  <si>
    <t>采样统计小区带宽内每PRB上行干扰测量值（单位mW），计算采样周期内采样值的线性平均值，然后再将小区带宽内所有的RB干扰测量值进行平均得出小区平均干扰电平（单位mW）。采样范围要覆盖到所有上行子帧。采样间隔不超过1秒。统计周期内转换为dBm上报。</t>
  </si>
  <si>
    <t>ENBHO01</t>
  </si>
  <si>
    <t>EQPT.MeanMeLoad</t>
  </si>
  <si>
    <t>系统平均负荷</t>
  </si>
  <si>
    <t>指测量周期中，网元的硬件资源负荷的抽样平均值。网元的硬件资源负荷可取对网元影响最大的模块的负荷，或取不同模块的负荷的加权平均值，不同厂商设备的计算方法各不相同。</t>
  </si>
  <si>
    <t>%</t>
  </si>
  <si>
    <t>ManagedElement</t>
  </si>
  <si>
    <t>ENBHO02</t>
  </si>
  <si>
    <t>EQPT.MaxMeLoad</t>
  </si>
  <si>
    <t>系统最大负荷</t>
  </si>
  <si>
    <t>指测量周期中，网元的硬件资源负荷的抽样最大值。网元的硬件资源负荷可取对网元影响最大的模块的负荷，或取不同模块的负荷的加权平均值，不同厂商设备的计算方法各不相同。</t>
  </si>
  <si>
    <t>ENBHP01</t>
  </si>
  <si>
    <t>PHY.CellMeanTxPower</t>
  </si>
  <si>
    <t>小区平均发射功率</t>
  </si>
  <si>
    <t>本小区控制RRU发射的功率的抽样平均值</t>
  </si>
  <si>
    <t>ENBHP02</t>
  </si>
  <si>
    <t>PHY.CellMaxTxPower</t>
  </si>
  <si>
    <t>小区最大发射功率</t>
  </si>
  <si>
    <t>本小区控制RRU发射的功率的抽样最大值</t>
  </si>
  <si>
    <t>ENBHQ01</t>
  </si>
  <si>
    <t>PHY.RruMeanTxPower</t>
  </si>
  <si>
    <t>RRU平均发射功率</t>
  </si>
  <si>
    <t>RRU发射的功率的抽样平均值。注：本测量与”小区平均发射功率”不同，当一个RRU同时为多个小区服务时，RRU的发射功率是多个小区发射功率的叠加结果。</t>
  </si>
  <si>
    <t>InventoryUnitRru</t>
  </si>
  <si>
    <t>ENBHQ02</t>
  </si>
  <si>
    <t>PHY.RruMaxTxPower</t>
  </si>
  <si>
    <t>RRU最大发射功率</t>
  </si>
  <si>
    <t>RRU发射的功率的抽样最大值。</t>
  </si>
  <si>
    <t>ENBHR01</t>
  </si>
  <si>
    <t>HO.ToGsmAttOutPerRelation</t>
  </si>
  <si>
    <t>LTE到GSM每相邻关系切换出请求次数</t>
  </si>
  <si>
    <t xml:space="preserve">统计LTE到GSM小区间切换出请求次数。</t>
  </si>
  <si>
    <t xml:space="preserve">源eNB向MME发送的“切换请求”消息（HANDOVER REQUIRED），Handover Type IE（LTEtoGERAN）指示系统间（EUTRAN-&gt;GERAN）分组域切换请求。（3GPP TS36.413）
</t>
  </si>
  <si>
    <t>GsmRelation</t>
  </si>
  <si>
    <t>CB条件：2G开启SRVCC</t>
  </si>
  <si>
    <t>ENBHR02</t>
  </si>
  <si>
    <t>HO.ToGsmSuccOutPrepPerRelation</t>
  </si>
  <si>
    <t>LTE到GSM每相邻关系切换出准备成功次数</t>
  </si>
  <si>
    <t xml:space="preserve">统计LTE到GSM小区间切换出准备成功次数。
</t>
  </si>
  <si>
    <t xml:space="preserve">源eNB收到MME发送的“切换命令”消息（HANDOVER COMMAND），指示系统间（EUTRAN-&gt; GERAN）分组域切换准备成功。（3GPP TS36.413）
</t>
  </si>
  <si>
    <t>ENBHR03</t>
  </si>
  <si>
    <t>HO.ToGsmSuccOutPerRelation</t>
  </si>
  <si>
    <t>LTE到GSM每相邻关系切换出成功次数</t>
  </si>
  <si>
    <t>统计LTE到GSM小区间切换成功次数。</t>
  </si>
  <si>
    <t xml:space="preserve">源eNB接收到MME发送的“UE上下文释放”消息（UE CONTEXT RELEASE COMMAND），指示系统间（EUTRAN-&gt; GERAN）分组域切换执行成功。（3GPP TS36.413）
</t>
  </si>
  <si>
    <t>ENBHS01</t>
  </si>
  <si>
    <t>S1SIG.ConnEstabAtt</t>
  </si>
  <si>
    <t>S1接口UE相关逻辑信令连接建立请求次数</t>
  </si>
  <si>
    <t>统计从eNB到MME的 S1接口UE相关逻辑信令连接建立请求次数。</t>
  </si>
  <si>
    <t xml:space="preserve">eNB发送INITIAL UE MESSAGE 消息给MME（参考32.425）。</t>
  </si>
  <si>
    <t>ENBHS02</t>
  </si>
  <si>
    <t>S1SIG.ConnEstabSucc</t>
  </si>
  <si>
    <t>S1接口UE相关逻辑信令连接建立成功次数</t>
  </si>
  <si>
    <t>统计从eNB到MME的 S1接口UE相关逻辑信令连接建立成功次数。</t>
  </si>
  <si>
    <t>eNB发送INITIAL UE MESSAGE消息后，在同一个UE相关逻辑信令连接上收到MME返回第一个消息 （参考32.425）。</t>
  </si>
  <si>
    <t>ENBHT01</t>
  </si>
  <si>
    <t>MAC.ThroughputUl</t>
  </si>
  <si>
    <t>MAC层上行流量</t>
  </si>
  <si>
    <t>统计MAC层成功接收的数据量</t>
  </si>
  <si>
    <t>CellComponent</t>
  </si>
  <si>
    <t>CB/CC条件：存在小区合并场景</t>
  </si>
  <si>
    <t>ENBHT02</t>
  </si>
  <si>
    <t>MAC.ThroughputDl</t>
  </si>
  <si>
    <t>MAC层下行流量</t>
  </si>
  <si>
    <t>统计MAC层成功发送的数据量</t>
  </si>
  <si>
    <t>ENBHT03</t>
  </si>
  <si>
    <t>ERAB.NbrMaxEstabCC</t>
  </si>
  <si>
    <t>子小区最大E-RAB数</t>
  </si>
  <si>
    <t>统计子小区内同时存在的E-RAB最大个数。</t>
  </si>
  <si>
    <t xml:space="preserve">ERAB.NbrMaxEstabCC.1 </t>
  </si>
  <si>
    <t>子小区QCI=1的最大ERAB数</t>
  </si>
  <si>
    <t xml:space="preserve">ERAB.NbrMaxEstabCC.2 </t>
  </si>
  <si>
    <t>子小区QCI=2的最大ERAB数</t>
  </si>
  <si>
    <t>ENBHU01</t>
  </si>
  <si>
    <t>EE.BbuMeanPower</t>
  </si>
  <si>
    <t>BBU平均功率</t>
  </si>
  <si>
    <t>在预先设定测量周期内，采样电源模块提供给BBU的电流/电压等计算对应的功率，统计BBU功率的抽样平均值。</t>
  </si>
  <si>
    <t>InventoryUnitShelf</t>
  </si>
  <si>
    <t>CB条件：非一体化设备且硬件本身支持功耗采集时上报</t>
  </si>
  <si>
    <t>ENBHU02</t>
  </si>
  <si>
    <t>EE.RruMeanPower</t>
  </si>
  <si>
    <t>RRU平均功率</t>
  </si>
  <si>
    <t>在预先设定测量周期内，采样电源模块提供给RRU的电流/电压等计算对应的功率，统计RRU功率的抽样平均值。</t>
  </si>
  <si>
    <t>ENBHU03</t>
  </si>
  <si>
    <t>EE.CarrierShutdownTime</t>
  </si>
  <si>
    <t>载波关断时长</t>
  </si>
  <si>
    <t>统计由于节能关断载波的实际生效累计时长。</t>
  </si>
  <si>
    <t>CB条件：节能开关打开时，进行统计</t>
  </si>
  <si>
    <t>ENBHU04</t>
  </si>
  <si>
    <t>EE.ChannelShutdownTime</t>
  </si>
  <si>
    <t>通道关断时长</t>
  </si>
  <si>
    <t>统计由于节能关断通道的实际生效累计时长。</t>
  </si>
  <si>
    <t>ENBHU05</t>
  </si>
  <si>
    <t>EE.NEMeanPower</t>
  </si>
  <si>
    <t>网元平均功率</t>
  </si>
  <si>
    <t>在预先设定测量周期内，采样电源模块提供给这个网元（BBU+RRU）功率的抽样平均值。</t>
  </si>
  <si>
    <t>在多制式共网元场景下，存在LTE、5G侧同时上报相同值的情况，因此多模场景{2G，NB,LTE,5G}下，上层网管在计算整体功耗时，可忽略低制式，直接参考高制式功耗即可。
若硬件本身不支持功耗采集时，本指标统计存在误差。</t>
  </si>
  <si>
    <t>ENBHU06</t>
  </si>
  <si>
    <t>EE.SlotShutdownTime</t>
  </si>
  <si>
    <t>符号关断时长</t>
  </si>
  <si>
    <t>统计由于节能关断符号的累计实际生效时长。</t>
  </si>
  <si>
    <t>CB条件：节能开关打开，硬件本身支持时上报，进行统计。</t>
  </si>
  <si>
    <t>ENBHU07</t>
  </si>
  <si>
    <t>EE.DeepSleepTime</t>
  </si>
  <si>
    <t>深度休眠时长</t>
  </si>
  <si>
    <t>统计由于RRU或者AAU深度休眠节能累计实际生效时长。</t>
  </si>
  <si>
    <t>ENBHU08</t>
  </si>
  <si>
    <t>EE.LTENEMeanPower</t>
  </si>
  <si>
    <t>网元平均功率LTE（近似）</t>
  </si>
  <si>
    <t xml:space="preserve">在预先设定测量周期内，采样电源模块提供给这个网元的LTE制式功率的抽样平均值。通过累加基站BBU框内单板NR制式能耗，BBU框外LTE制式射频单元和机电等所有物理设备消耗的能耗获得。
由于无法准确区分不同制式的能耗，实际运维总期望一个相对接近的不同制式分摊统计算法为：LTE制式整站能耗=LTE制式BBU能耗+LTE制式各RRU能耗.
 1)各制式的BBU功耗占比按照各制式Enable的物理小区数占比进行来分配: 
LTE制式BBU能耗=BBU总能耗*(sum（Enable的LTE物理小区总数)/sum（BBU 所有Enable的物理小区数)).
NB制式BBU能耗=BBU总能耗*(sum（Enable的NB物理小区总数)/sum（BBU 所有Enable的物理小区数)).
GSM制式BBU能耗=BBU总能耗*(sum（Enable的GSM物理小区总数)/sum（BBU 所有Enable的物理小区数)).
 2)各制式的RRU能耗按照RRU上配置的小区配置功率和小区空口资源利用率指标来估算:
LTE制式RRU能耗=RRU整机能耗*（sum(LTE制式小区配置功率*空口资源利用率)）/(sum(各制式小区配置功率*空口资源利用率))
以LTE/NB/NR 三模RRU分制式能耗计算为例：
LTE制式RRU能耗=RRU整机能耗*（sum（LTE小区配置功率*空口资源利用率）/(sum(LTE小区配置功率*空口资源利用率)+sum(NB小区配置功率*空口资源利用率)+sum(NR小区配置功率*空口资源利用率))）
NB制式RRU能耗=RRU整机能耗*（sum（NB小区配置功率*空口资源利用率）/(sum(LTE小区配置功率*空口资源利用率)+sum(NB小区配置功率*空口资源利用率)+sum(NR小区配置功率*空口资源利用率))）
NR制式RRU能耗=RRU整机能耗*（sum（NR小区配置功率*空口资源利用率）/(sum(LTE小区配置功率*空口资源利用率)+sum(NB小区配置功率*空口资源利用率)+sum(NR小区配置功率*空口资源利用率))）
注1：跨框无法获取对端实际制式的物理小区时，非本BBU的小区不参与统计，因此跨框场景统计值存在误差。
注2：本指标的分摊算法存在较大误差，不作为考核指标。
</t>
  </si>
  <si>
    <t>1.分摊的算法仅作参考，无法作为考核的指标。
2.若硬件本身不支持功耗采集时，本指标统计存在误差。</t>
  </si>
  <si>
    <t>ENBHU09</t>
  </si>
  <si>
    <t>EE.NBNEMeanPower</t>
  </si>
  <si>
    <t>网元平均功率NB（近似）</t>
  </si>
  <si>
    <t xml:space="preserve">在预先设定测量周期内，采样电源模块提供给这个网元的NB制式功率的抽样平均值。通过累加基站BBU框内单板NB制式能耗，BBU框外NB制式射频单元和机电等所有物理设备消耗的能耗获得。
由于无法准确区分不同制式的能耗，实际运维总期望一个相对接近的不同制式分摊统计算法为：NB制式整站能耗=NB制式BBU能耗+NB制式各RRU能耗.
 1)各制式的BBU功耗占比按照各制式Enable的物理小区数占比进行来分配: 
LTE制式BBU能耗=BBU总能耗*(sum（Enable的LTE物理小区总数)/sum（BBU 所有Enable的物理小区数)).
NB制式BBU能耗=BBU总能耗*(sum（Enable的NB物理小区总数)/sum（BBU 所有Enable的物理小区数)).
GSM制式BBU能耗=BBU总能耗*(sum（Enable的GSM物理小区总数)/sum（BBU 所有Enable的物理小区数)).
 2)各制式的RRU能耗按照RRU上配置的小区配置功率和小区空口资源利用率指标来估算:
LTE制式RRU能耗=RRU整机能耗*（sum(LTE制式小区配置功率*空口资源利用率)）/(sum(各制式小区配置功率*空口资源利用率))
以LTE/NB/NR 三模RRU分制式能耗计算为例：
LTE制式RRU能耗=RRU整机能耗*（sum（LTE小区配置功率*空口资源利用率）/(sum(LTE小区配置功率*空口资源利用率)+sum(NB小区配置功率*空口资源利用率)+sum(NR小区配置功率*空口资源利用率))）
NB制式RRU能耗=RRU整机能耗*（sum（NB小区配置功率*空口资源利用率）/(sum(LTE小区配置功率*空口资源利用率)+sum(NB小区配置功率*空口资源利用率)+sum(NR小区配置功率*空口资源利用率))）
NR制式RRU能耗=RRU整机能耗*（sum（NR小区配置功率*空口资源利用率）/(sum(LTE小区配置功率*空口资源利用率)+sum(NB小区配置功率*空口资源利用率)+sum(NR小区配置功率*空口资源利用率))）
注1：跨框无法获取对端实际制式的物理小区时，非本BBU的小区不参与统计，因此跨框场景统计值存在误差。
注2：本指标的分摊算法存在较大误差，不作为考核指标。
</t>
  </si>
  <si>
    <t>1.分摊的算法仅作参考，无法作为考核的指标。
2.若硬件本身不支持功耗采集时，本指标统计存在误差。
3.仅当LTE所在的站与NB共BBU时，上报</t>
  </si>
  <si>
    <t>ENBHU10</t>
  </si>
  <si>
    <t>EE.GSMNEMeanPower</t>
  </si>
  <si>
    <t>网元平均功率GSM（近似）</t>
  </si>
  <si>
    <t xml:space="preserve">在预先设定测量周期内，采样电源模块提供给这个网元的GSM制式功率的抽样平均值。通过累加基站BBU框内单板GSM制式能耗，BBU框外GSM制式射频单元和机电等所有物理设备消耗的能耗获得。
由于无法准确区分不同制式的能耗，实际运维总期望一个相对接近的不同制式分摊统计算法为：GSM制式整站能耗=GSM制式BBU能耗+GSM制式各RRU能耗.
 1)各制式的BBU功耗占比按照各制式Enable的物理小区数占比进行来分配: 
LTE制式BBU能耗=BBU总能耗*(sum（Enable的LTE物理小区总数)/sum（BBU 所有Enable的物理小区数)).
NB制式BBU能耗=BBU总能耗*(sum（Enable的NB物理小区总数)/sum（BBU 所有Enable的物理小区数)).
GSM制式BBU能耗=BBU总能耗*(sum（Enable的GSM物理小区总数)/sum（BBU 所有Enable的物理小区数)).
 2)各制式的RRU能耗按照RRU上配置的小区配置功率和小区空口资源利用率指标来估算:
GSM制式RRU能耗=RRU整机能耗*（sum(GSM制式小区配置功率*空口资源利用率)）/(sum(各制式小区配置功率*空口资源利用率))
以GSM/NB/LTE 三模RRU分制式能耗计算为例：
LTE制式RRU能耗=RRU整机能耗*（sum（LTE小区配置功率*空口资源利用率）/(sum(LTE小区配置功率*空口资源利用率)+sum(NB小区配置功率*空口资源利用率)+sum(NR小区配置功率*空口资源利用率))）
NB制式RRU能耗=RRU整机能耗*（sum（NB小区配置功率*空口资源利用率）/(sum(LTE小区配置功率*空口资源利用率)+sum(NB小区配置功率*空口资源利用率)+sum(NR小区配置功率*空口资源利用率))）
GSM制式RRU能耗=RRU整机能耗*（sum（GSM小区配置功率*空口资源利用率）/(sum(LTE小区配置功率*空口资源利用率)+sum(NB小区配置功率*空口资源利用率)+sum(GSM小区配置功率*空口资源利用率))）
注1：跨框无法获取对端实际制式的物理小区时，非本BBU的小区不参与统计，因此跨框场景统计值存在误差。
注2：本指标的分摊算法存在较大误差，不作为考核指标。
</t>
  </si>
  <si>
    <t>1.分摊的算法仅作参考，无法作为考核的指标。
2.若硬件本身不支持功耗采集时，本指标统计存在误差。
3.仅当LTE所在的站与GSM 共BBU时，上报</t>
  </si>
  <si>
    <t>ENBHU11</t>
  </si>
  <si>
    <t>EE.DLPowerOptTime</t>
  </si>
  <si>
    <t>下行功率优化生效时长</t>
  </si>
  <si>
    <t>统计基于实际功率调整的实际生效累计时长。</t>
  </si>
  <si>
    <t>ENBHU12</t>
  </si>
  <si>
    <t>EE.AveBbuTemp</t>
  </si>
  <si>
    <t>BBU平均温度</t>
  </si>
  <si>
    <r>
      <rPr>
        <sz val="10"/>
        <color theme="1"/>
        <rFont val="宋体"/>
        <charset val="134"/>
        <scheme val="minor"/>
      </rPr>
      <t>在预先设定测量周期内，采集到的</t>
    </r>
    <r>
      <rPr>
        <sz val="10"/>
        <color rgb="FFC00000"/>
        <rFont val="宋体"/>
        <charset val="134"/>
        <scheme val="minor"/>
      </rPr>
      <t>BBU的</t>
    </r>
    <r>
      <rPr>
        <sz val="10"/>
        <color theme="1"/>
        <rFont val="宋体"/>
        <charset val="134"/>
        <scheme val="minor"/>
      </rPr>
      <t>平均温度</t>
    </r>
  </si>
  <si>
    <t>℃</t>
  </si>
  <si>
    <r>
      <rPr>
        <sz val="10"/>
        <color theme="1"/>
        <rFont val="宋体"/>
        <charset val="134"/>
        <scheme val="minor"/>
      </rPr>
      <t>InventoryUnit</t>
    </r>
    <r>
      <rPr>
        <sz val="10"/>
        <color rgb="FFC00000"/>
        <rFont val="宋体"/>
        <charset val="134"/>
        <scheme val="minor"/>
      </rPr>
      <t>Shelf</t>
    </r>
  </si>
  <si>
    <t>上报条件：要求支持检测温度的BBU上报</t>
  </si>
  <si>
    <t>ENBHV01</t>
  </si>
  <si>
    <t>每PLMN切换入E-RAB数</t>
  </si>
  <si>
    <t>区分PLMN统计小区切换入E-RAB个数。</t>
  </si>
  <si>
    <t>EutranPlmn</t>
  </si>
  <si>
    <t>CB条件：支持网络共享（MOCN）的小区上报</t>
  </si>
  <si>
    <t>ENBHV02</t>
  </si>
  <si>
    <t>每PLMNE-RAB建立请求数</t>
  </si>
  <si>
    <t>区分PLMN统计请求建立的E-RAB个数。</t>
  </si>
  <si>
    <t>eNB接收到MME发来的“初始上下文建立请求消息”（INITIAL CONTEXT SETUP REQUEST）或 “E-RAB建立请求”（E-RAB SETUP REQUEST）消息，消息中包含的E-RAB个数。（3GPP TS 36.413）。</t>
  </si>
  <si>
    <t>ENBHV03</t>
  </si>
  <si>
    <t>每PLMNE-RAB建立成功数</t>
  </si>
  <si>
    <t>区分PLMN统计E-RAB建立成功个数。</t>
  </si>
  <si>
    <t>eNB向MME发送“初始上下文建立响应”（INITIAL CONTEXT SETUP RESPONSE）消息或“E-RAB建立响应”（E-RAB SETUP RESPONSE）消息中，成功建立的E-RAB个数；并包括不直接造成通话失败的流程冲突导致E-RAB建立中断次数。（3GPP TS 36.413）
场景为VoLTE业务弱场起呼触发FlashCsfb（bSRVCC规避）导致的E-RAB建立流程中断，或ERAB建立完成前发起切换流程。因为此类流程冲突不会直接造成通话失败，故包含在E-RAB建立成功数中。</t>
  </si>
  <si>
    <t>ENBHV04</t>
  </si>
  <si>
    <t>每PLMNeNB请求释放的E-RAB数</t>
  </si>
  <si>
    <t>区分PLMN统计eNB请求释放的E-RAB个数</t>
  </si>
  <si>
    <t xml:space="preserve">eNB向MME发送“E-RAB释放指示”（E-RAB RELEASE INDICATION）或“UE上下文释放请求(UE CONTEXT RELEASE REQUEST)”消息或S1AP Reset消息，消息中含有要求释放的E-RAB个数，每个原因对应一个子测量项。其中，E-RAB正常释放的原因包括：User Inactivity, CS Fallback triggered, Inter-RAT Redirection、UE Not Available for PS Service、Redirection towards 1xRTT。（3GPP TS 36.413）
</t>
  </si>
  <si>
    <t>每PLMN用户不活动原因eNB请求释放的E-RAB数</t>
  </si>
  <si>
    <t>区分PLMN统计用户不活动原因eNB请求释放的E-RAB个数</t>
  </si>
  <si>
    <t>CB条件：支持网络共享（MOCN）的小区上报，EU0227 E-RAB掉线率（剔除UI原因）需要此counter</t>
  </si>
  <si>
    <t>每PLMN正常的eNB请求释放的E-RAB数</t>
  </si>
  <si>
    <t>区分PLMN统计eNB请求正常释放的E-RAB个数</t>
  </si>
  <si>
    <t>ENBHV05</t>
  </si>
  <si>
    <t>每PLMN切出失败的E-RAB数</t>
  </si>
  <si>
    <t>区分PLMN统计切出过程中，未能切换的E-RAB数。由于eNB内的切换属内部流程，无法约定触发点，因此不统计在内。</t>
  </si>
  <si>
    <t>ENBHV06</t>
  </si>
  <si>
    <t>每PLMNMME释放的E-RAB数</t>
  </si>
  <si>
    <t>区分PLMN统计MME发起的要求释放的E-RAB个数，不含成功切换引起的释放。</t>
  </si>
  <si>
    <t xml:space="preserve">eNB收到MME发送的“E-RAB释放命令”（E-RAB RELEASE COMMAND）或“UE上下文释放命令”(UE CONTEXT RELEASE COMMAND)或S1AP Reset消息，且释放原因非成功切换(Successful Handover)时进行统计，统计消息中包含有或对应要求释放的E-RAB个数，（3GPP TS 36.413）</t>
  </si>
  <si>
    <t>ENBHV07</t>
  </si>
  <si>
    <t>每PLMN成功切换释放的E-RAB数</t>
  </si>
  <si>
    <t>区分PLMN统计由成功切换引起的要求释放的E-RAB个数。</t>
  </si>
  <si>
    <t xml:space="preserve">eNB收到MME发送的“E-RAB释放命令”（E-RAB RELEASE COMMAND）或“UE上下文释放命令”(UE CONTEXT RELEASE COMMAND)或S1AP Reset消息，且释放原因为成功切换(Successful Handover)，或eNB收到目标eNB发来的UE CONTEXT RELEASE消息，统计消息中包含或对应要求释放的E-RAB个数，（3GPP TS 36.413）</t>
  </si>
  <si>
    <t>ENBHV08</t>
  </si>
  <si>
    <t>每PLMN遗留E-RAB个数</t>
  </si>
  <si>
    <t>区分PLMN统计本采集周期结束时已经存在的E-RAB个数。</t>
  </si>
  <si>
    <t>当采集周期结束时，测量当前小区该PLMN已经存在的E-RAB个数。（3GPP TS 36.413）</t>
  </si>
  <si>
    <t>CB条件：支持网络共享（MOCN）的小区上报，EU0202 E-RAB掉线率（小区级）、EU0203 E-RAB掉线率需要此counter</t>
  </si>
  <si>
    <t>ENBHV09</t>
  </si>
  <si>
    <t>每PLMN初始E-RAB建立请求数</t>
  </si>
  <si>
    <t>区分PLMN统计初始请求建立的E-RAB个数。</t>
  </si>
  <si>
    <t>eNB接收到MME发来的“初始上下文建立请求消息”（INITIAL CONTEXT SETUP REQUEST），消息中包含的E-RAB个数。（3GPP TS 36.413）。</t>
  </si>
  <si>
    <t>ENBHV10</t>
  </si>
  <si>
    <t>每PLMN初始E-RAB建立成功数</t>
  </si>
  <si>
    <t>区分PLMN统计初始E-RAB建立成功个数。</t>
  </si>
  <si>
    <t xml:space="preserve">eNB向MME发送“初始上下文建立响应”（INITIAL CONTEXT SETUP RESPONSE），消息中成功建立的E-RAB个数。（3GPP TS 36.413）</t>
  </si>
  <si>
    <t>ENBHV11</t>
  </si>
  <si>
    <t>每PLMNRRC连接平均数</t>
  </si>
  <si>
    <t>区分PLMN统计同时存在的RRC连接平均数量。</t>
  </si>
  <si>
    <t>以1秒为间隔采样，区分PLMN统计小区内同时存在的RRC连接数量，然后对采样点取平均值。</t>
  </si>
  <si>
    <t>ENBHV12</t>
  </si>
  <si>
    <t>每PLMNRRC连接最大数</t>
  </si>
  <si>
    <t>区分PLMN统计同时存在的RRC连接最大数量。</t>
  </si>
  <si>
    <t>以1秒为间隔采样，区分PLMN统计小区内同时存在的RRC连接数量，然后对采样点取最大值。</t>
  </si>
  <si>
    <t>ENBHV13</t>
  </si>
  <si>
    <t>每PLMNRRC连接重建成功次数(非源侧小区)</t>
  </si>
  <si>
    <t>区分PLMN统计RRC连接重建成功的次数,并区分重建原因分别统计。</t>
  </si>
  <si>
    <t>CB条件：支持网络共享（MOCN）的小区上报，EU0223 无线掉线率（小区级）需要此counter</t>
  </si>
  <si>
    <t>ENBHV15</t>
  </si>
  <si>
    <t>每PLMN初始上下文建立成功次数</t>
  </si>
  <si>
    <t>区分PLMN统计初始上下文建立成功次数。</t>
  </si>
  <si>
    <t>ENBHV16</t>
  </si>
  <si>
    <t>每PLMNeNB请求释放上下文数</t>
  </si>
  <si>
    <t>区分PLMN统计eNB发起的请求释放上下文个数，并应该按释放原因分类统计。</t>
  </si>
  <si>
    <t>每PLMN用户不活动原因eNB请求释放上下文数</t>
  </si>
  <si>
    <t>EU0225 无线掉线率（剔除UI原因）需要此counter</t>
  </si>
  <si>
    <t>每PLMN正常的eNB请求释放上下文数</t>
  </si>
  <si>
    <t>EU0223 无线掉线率（小区级）需要此counter</t>
  </si>
  <si>
    <t>ENBHV17</t>
  </si>
  <si>
    <t>每PLMNMME请求释放上下文数</t>
  </si>
  <si>
    <t>区分PLMN统计MME发起的要求释放上下文个数，并应该按释放原因分类统计。</t>
  </si>
  <si>
    <t>eNB收到MME发送的“UE 上下文释放命令”（UE CONTEXT RELEASE COMMAND）消息或者S1 Reset消息中包含的上下文个数。（3GPP TS 36.413）</t>
  </si>
  <si>
    <t>ENBHV18</t>
  </si>
  <si>
    <t>每PLMN遗留上下文个数</t>
  </si>
  <si>
    <t xml:space="preserve">区分PLMN统计本采集周期结束时已经存在UE CONTEXT个数。
</t>
  </si>
  <si>
    <t>当采集周期结束时，测量当前小区该PLMN已经存在的UE CONTEXT个数。（3GPP TS 36.413）</t>
  </si>
  <si>
    <t>ENBHV19</t>
  </si>
  <si>
    <t>每PLMN小区用户面上行字节数</t>
  </si>
  <si>
    <t xml:space="preserve">区分PLMN在测量周期内，累加小区用户面通过空口成功接收的PDCP SDU字节数，即小区用户面PDCP层从下层接收到的PDCP SDU字节数。
</t>
  </si>
  <si>
    <t>1KByte=1000Byte
CB条件：支持网络共享（MOCN）的小区上报</t>
  </si>
  <si>
    <t>ENBHV20</t>
  </si>
  <si>
    <t xml:space="preserve">PDCP.UpOctDl </t>
  </si>
  <si>
    <t>每PLMN小区用户面下行字节数</t>
  </si>
  <si>
    <t>区分PLMN在测量周期内，累加小区用户面通过空口成功发送的PDCP SDU字节数，即小区用户面PDCP层向下层发送的SDU字节数。成功发送定义为收到UE对PDCP SDU的最后一个分片的ACK确认，具体为UM模式下为MAC层ACK;AM模式下为RLC层ACK。字节数的统计在PDCP层，统计压缩之后的字节数。
单独统计下行CA激活用户的小区用户面下行字节数。
注1：该测量不包括切换过程中，通过X2或S1接口转发到其它eNB的PDCP SDU字节数。
注2：该测量不考虑低层是否重传或传送失败。</t>
  </si>
  <si>
    <t>ENBHV21</t>
  </si>
  <si>
    <t>每PLMN每PLMN小区上行包数</t>
  </si>
  <si>
    <t>区分PLMN在测量周期内，统计小区上行eNB期望接收到的PDCP总包数。</t>
  </si>
  <si>
    <t xml:space="preserve">1KByte=1000Byte
CB条件：支持网络共享（MOCN）的小区上报
</t>
  </si>
  <si>
    <t>ENBHV22</t>
  </si>
  <si>
    <t>每PLMN小区上行丢包数</t>
  </si>
  <si>
    <t>区分PLMN统计小区上行eNB发现丢失的PDCP包序列号的总数</t>
  </si>
  <si>
    <t>ENBHV23</t>
  </si>
  <si>
    <t>每PLMN小区下行包数</t>
  </si>
  <si>
    <t>区分PLMN统计小区下行eNB发送的PDCP总包数，不含重发，但包含丢包。
注：本测量=小区下行PDCP层从上层接收到的包数-小区下行PDCP层弃包数。</t>
  </si>
  <si>
    <t>ENBHV24</t>
  </si>
  <si>
    <t>每PLMN小区下行丢包数</t>
  </si>
  <si>
    <t>区分PLMN统计小区下行eNB发送丢失的PDCP总包数。注：下行发送是否丢失，需要结合HARQ的结果来判断。</t>
  </si>
  <si>
    <t>ENBHV25</t>
  </si>
  <si>
    <t>每PLMN小区下行弃包数</t>
  </si>
  <si>
    <t>区分PLMN统计小区下行eNB的弃包数。弃包指由于拥塞、流量管理等因素，数据包未在空口中传输。</t>
  </si>
  <si>
    <t>CB条件：支持网络共享（MOCN）的小区上报，EU0403 小区用户面下行弃包率需要此counter</t>
  </si>
  <si>
    <t>ENBHV26</t>
  </si>
  <si>
    <t xml:space="preserve">每PLMN小区PDCP层接收上行数据的业务总时长 </t>
  </si>
  <si>
    <t>在小区范围内，区分PLMN累加每个UE每个E-RAB的激活DRB的上行PDCP缓存不为空总时长（不含最后一个TTI）。上行PDCP缓存是否为空的判断依赖于BSR上报（对小数据包和半持续调度业务难以统计）。</t>
  </si>
  <si>
    <t>ENBHV27</t>
  </si>
  <si>
    <t xml:space="preserve">每PLMN小区PDCP层发送下行数据的业务总时长 </t>
  </si>
  <si>
    <t xml:space="preserve">在小区范围内，区分PLMN累加每个UE每个E-RAB的激活DRB的下行PDCP缓存不为空总时长（不含最后一个TTI）。
</t>
  </si>
  <si>
    <t>ENBHV28</t>
  </si>
  <si>
    <t>每PLMN小区用户面下行总时延</t>
  </si>
  <si>
    <t>区分PLMN时延统计为从收到PDCP SDU到PDCP SDU成功发送之间所经历的时长，累加统计周期内该PLMN所有的PDCP数据包时延，
成功发送定义为收到UE对PDCP SDU的最后一个分片的ACK确认，具体为UM模式下为MAC层ACK;AM模式下为RLC层ACK。
成功发送时间终点为PDCP SDU的最后一个分片在MAC层发出，即时延统计不包含ACK反馈所消耗的上行时间。（与3GPP TS 32.314有差异）</t>
  </si>
  <si>
    <t>ENBHV29</t>
  </si>
  <si>
    <t>每PLMN小区用户面上行尾包字节数</t>
  </si>
  <si>
    <t xml:space="preserve">在测量周期内，区分PLMN累加缓存区清空前最后一个TTI通过空口成功接收的PDCP SDU字节数。
</t>
  </si>
  <si>
    <t>ENBHV30</t>
  </si>
  <si>
    <t xml:space="preserve">PDCP.UpLastTtiOctDl </t>
  </si>
  <si>
    <t>每PLMN小区用户面下行尾包字节数</t>
  </si>
  <si>
    <t>在测量周期内，区分PLMN累加缓存区清空前最后一个TTI通过空口成功发送的PDCP SDU字节数。字节数的统计在PDCP层，统计压缩之后的字节数。
注1：该测量不包括切换过程中，通过X2或S1接口转发到其它eNB的PDCP SDU字节数。
注2：该测量不考虑低层是否重传或传送失败。</t>
  </si>
  <si>
    <t>ENBHV31</t>
  </si>
  <si>
    <t>每PLMN有效RRC连接平均数</t>
  </si>
  <si>
    <t>区分PLMN有数据传输的RRC连接平均数。以100ms为周期，记录该PLMN有效RRC连接数，并取各个周期的平均值。在每100ms之内，若某RRC相关的任意一个E-RAB有用户面数据传输或缓存不为空，则视该RRC连接是有效的。在每100ms内，逐毫秒累加计数，但不重复累加同一有效RRC连接数。</t>
  </si>
  <si>
    <t>CB条件：支持网络共享（MOCN）的小区上报，EU0542 平均激活用户数</t>
  </si>
  <si>
    <t>ENBHV32</t>
  </si>
  <si>
    <t>每PLMN有效RRC连接最大数</t>
  </si>
  <si>
    <t>区分PLMN有数据传输的RRC连接最大数。以100ms为周期，记录该PLMN有效RRC连接数，并取各个周期的最大值。在每100ms之内，若某RRC相关的任意一个E-RAB有用户面数据传输或缓存不为空，则视该RRC连接是有效的。在每100ms内，逐毫秒累加计数，但不重复累加同一有效RRC连接数。</t>
  </si>
  <si>
    <t>CB条件：支持网络共享（MOCN）的小区上报，EU0543 最大激活用户数</t>
  </si>
  <si>
    <t>ENBHV33</t>
  </si>
  <si>
    <t>每PLMNS1接口UE相关逻辑信令连接建立请求次数</t>
  </si>
  <si>
    <t>区分PLMN统计从eNB到MME的 S1接口UE相关逻辑信令连接建立请求次数。</t>
  </si>
  <si>
    <t>ENBHV34</t>
  </si>
  <si>
    <t>每PLMNS1接口UE相关逻辑信令连接建立成功次数</t>
  </si>
  <si>
    <t>区分PLMN统计从eNB到MME的 S1接口UE相关逻辑信令连接建立成功次数。</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</si>
</sst>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s>
  <fonts count="33">
    <font>
      <sz val="10"/>
      <name val="宋体"/>
      <charset val="134"/>
    </font>
    <font>
      <sz val="10"/>
      <name val="宋体"/>
      <charset val="134"/>
      <scheme val="minor"/>
    </font>
    <font>
      <sz val="12"/>
      <name val="宋体"/>
      <charset val="134"/>
    </font>
    <font>
      <b/>
      <sz val="10"/>
      <name val="宋体"/>
      <charset val="134"/>
    </font>
    <font>
      <sz val="12"/>
      <color theme="1"/>
      <name val="宋体"/>
      <charset val="134"/>
    </font>
    <font>
      <sz val="10"/>
      <color theme="1"/>
      <name val="宋体"/>
      <charset val="134"/>
      <scheme val="minor"/>
    </font>
    <font>
      <sz val="10"/>
      <color theme="1"/>
      <name val="宋体"/>
      <charset val="134"/>
    </font>
    <font>
      <sz val="11"/>
      <color theme="1"/>
      <name val="宋体"/>
      <charset val="134"/>
      <scheme val="minor"/>
    </font>
    <font>
      <sz val="11"/>
      <name val="宋体"/>
      <charset val="134"/>
    </font>
    <font>
      <sz val="10"/>
      <color theme="1"/>
      <name val="微软雅黑"/>
      <charset val="134"/>
    </font>
    <font>
      <b/>
      <sz val="10"/>
      <color theme="1"/>
      <name val="宋体"/>
      <charset val="134"/>
      <scheme val="minor"/>
    </font>
    <font>
      <b/>
      <sz val="10"/>
      <color theme="1"/>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indexed="8"/>
      <name val="Calibri"/>
      <charset val="134"/>
    </font>
    <font>
      <sz val="10"/>
      <color rgb="FFC00000"/>
      <name val="宋体"/>
      <charset val="134"/>
      <scheme val="minor"/>
    </font>
  </fonts>
  <fills count="37">
    <fill>
      <patternFill patternType="none"/>
    </fill>
    <fill>
      <patternFill patternType="gray125"/>
    </fill>
    <fill>
      <patternFill patternType="solid">
        <fgColor indexed="41"/>
        <bgColor indexed="64"/>
      </patternFill>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2" fontId="7" fillId="0" borderId="0" applyFont="0" applyFill="0" applyBorder="0" applyAlignment="0" applyProtection="0">
      <alignment vertical="center"/>
    </xf>
    <xf numFmtId="0" fontId="12" fillId="6" borderId="0" applyNumberFormat="0" applyBorder="0" applyAlignment="0" applyProtection="0">
      <alignment vertical="center"/>
    </xf>
    <xf numFmtId="0" fontId="13" fillId="7" borderId="8" applyNumberFormat="0" applyAlignment="0" applyProtection="0">
      <alignment vertical="center"/>
    </xf>
    <xf numFmtId="44" fontId="7" fillId="0" borderId="0" applyFont="0" applyFill="0" applyBorder="0" applyAlignment="0" applyProtection="0">
      <alignment vertical="center"/>
    </xf>
    <xf numFmtId="41" fontId="7" fillId="0" borderId="0" applyFont="0" applyFill="0" applyBorder="0" applyAlignment="0" applyProtection="0">
      <alignment vertical="center"/>
    </xf>
    <xf numFmtId="0" fontId="12" fillId="8" borderId="0" applyNumberFormat="0" applyBorder="0" applyAlignment="0" applyProtection="0">
      <alignment vertical="center"/>
    </xf>
    <xf numFmtId="0" fontId="14" fillId="9" borderId="0" applyNumberFormat="0" applyBorder="0" applyAlignment="0" applyProtection="0">
      <alignment vertical="center"/>
    </xf>
    <xf numFmtId="43" fontId="7" fillId="0" borderId="0" applyFont="0" applyFill="0" applyBorder="0" applyAlignment="0" applyProtection="0">
      <alignment vertical="center"/>
    </xf>
    <xf numFmtId="0" fontId="15" fillId="10" borderId="0" applyNumberFormat="0" applyBorder="0" applyAlignment="0" applyProtection="0">
      <alignment vertical="center"/>
    </xf>
    <xf numFmtId="0" fontId="16" fillId="0" borderId="0" applyNumberFormat="0" applyFill="0" applyBorder="0" applyAlignment="0" applyProtection="0">
      <alignment vertical="center"/>
    </xf>
    <xf numFmtId="9" fontId="7" fillId="0" borderId="0" applyFont="0" applyFill="0" applyBorder="0" applyAlignment="0" applyProtection="0">
      <alignment vertical="center"/>
    </xf>
    <xf numFmtId="0" fontId="17" fillId="0" borderId="0" applyNumberFormat="0" applyFill="0" applyBorder="0" applyAlignment="0" applyProtection="0">
      <alignment vertical="center"/>
    </xf>
    <xf numFmtId="0" fontId="7" fillId="11" borderId="9" applyNumberFormat="0" applyFont="0" applyAlignment="0" applyProtection="0">
      <alignment vertical="center"/>
    </xf>
    <xf numFmtId="0" fontId="15" fillId="12"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0" borderId="0">
      <alignment vertical="center"/>
    </xf>
    <xf numFmtId="0" fontId="21" fillId="0" borderId="0" applyNumberFormat="0" applyFill="0" applyBorder="0" applyAlignment="0" applyProtection="0">
      <alignment vertical="center"/>
    </xf>
    <xf numFmtId="0" fontId="22" fillId="0" borderId="10" applyNumberFormat="0" applyFill="0" applyAlignment="0" applyProtection="0">
      <alignment vertical="center"/>
    </xf>
    <xf numFmtId="0" fontId="2" fillId="0" borderId="0"/>
    <xf numFmtId="0" fontId="23" fillId="0" borderId="10" applyNumberFormat="0" applyFill="0" applyAlignment="0" applyProtection="0">
      <alignment vertical="center"/>
    </xf>
    <xf numFmtId="0" fontId="15" fillId="13" borderId="0" applyNumberFormat="0" applyBorder="0" applyAlignment="0" applyProtection="0">
      <alignment vertical="center"/>
    </xf>
    <xf numFmtId="0" fontId="18" fillId="0" borderId="11" applyNumberFormat="0" applyFill="0" applyAlignment="0" applyProtection="0">
      <alignment vertical="center"/>
    </xf>
    <xf numFmtId="0" fontId="15" fillId="14" borderId="0" applyNumberFormat="0" applyBorder="0" applyAlignment="0" applyProtection="0">
      <alignment vertical="center"/>
    </xf>
    <xf numFmtId="0" fontId="24" fillId="15" borderId="12" applyNumberFormat="0" applyAlignment="0" applyProtection="0">
      <alignment vertical="center"/>
    </xf>
    <xf numFmtId="0" fontId="25" fillId="15" borderId="8" applyNumberFormat="0" applyAlignment="0" applyProtection="0">
      <alignment vertical="center"/>
    </xf>
    <xf numFmtId="0" fontId="26" fillId="16" borderId="13" applyNumberFormat="0" applyAlignment="0" applyProtection="0">
      <alignment vertical="center"/>
    </xf>
    <xf numFmtId="0" fontId="12" fillId="17" borderId="0" applyNumberFormat="0" applyBorder="0" applyAlignment="0" applyProtection="0">
      <alignment vertical="center"/>
    </xf>
    <xf numFmtId="0" fontId="15" fillId="18" borderId="0" applyNumberFormat="0" applyBorder="0" applyAlignment="0" applyProtection="0">
      <alignment vertical="center"/>
    </xf>
    <xf numFmtId="0" fontId="27" fillId="0" borderId="14" applyNumberFormat="0" applyFill="0" applyAlignment="0" applyProtection="0">
      <alignment vertical="center"/>
    </xf>
    <xf numFmtId="0" fontId="28" fillId="0" borderId="15" applyNumberFormat="0" applyFill="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12" fillId="21" borderId="0" applyNumberFormat="0" applyBorder="0" applyAlignment="0" applyProtection="0">
      <alignment vertical="center"/>
    </xf>
    <xf numFmtId="0" fontId="15"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5" fillId="31" borderId="0" applyNumberFormat="0" applyBorder="0" applyAlignment="0" applyProtection="0">
      <alignment vertical="center"/>
    </xf>
    <xf numFmtId="0" fontId="12" fillId="32" borderId="0" applyNumberFormat="0" applyBorder="0" applyAlignment="0" applyProtection="0">
      <alignment vertical="center"/>
    </xf>
    <xf numFmtId="0" fontId="15" fillId="33" borderId="0" applyNumberFormat="0" applyBorder="0" applyAlignment="0" applyProtection="0">
      <alignment vertical="center"/>
    </xf>
    <xf numFmtId="0" fontId="15" fillId="34" borderId="0" applyNumberFormat="0" applyBorder="0" applyAlignment="0" applyProtection="0">
      <alignment vertical="center"/>
    </xf>
    <xf numFmtId="0" fontId="12" fillId="35" borderId="0" applyNumberFormat="0" applyBorder="0" applyAlignment="0" applyProtection="0">
      <alignment vertical="center"/>
    </xf>
    <xf numFmtId="0" fontId="15" fillId="36" borderId="0" applyNumberFormat="0" applyBorder="0" applyAlignment="0" applyProtection="0">
      <alignment vertical="center"/>
    </xf>
    <xf numFmtId="0" fontId="0" fillId="0" borderId="0">
      <alignment vertical="center"/>
    </xf>
    <xf numFmtId="0" fontId="0" fillId="0" borderId="0">
      <alignment vertical="center"/>
    </xf>
    <xf numFmtId="0" fontId="31" fillId="0" borderId="0">
      <alignment vertical="center"/>
    </xf>
    <xf numFmtId="0" fontId="0" fillId="0" borderId="0">
      <alignment vertical="center"/>
    </xf>
  </cellStyleXfs>
  <cellXfs count="180">
    <xf numFmtId="0" fontId="0" fillId="0" borderId="0" xfId="0">
      <alignment vertical="center"/>
    </xf>
    <xf numFmtId="0" fontId="1" fillId="0" borderId="0" xfId="0" applyFont="1">
      <alignment vertical="center"/>
    </xf>
    <xf numFmtId="0" fontId="2" fillId="0" borderId="0" xfId="0" applyFont="1" applyAlignment="1"/>
    <xf numFmtId="0" fontId="2" fillId="0" borderId="0" xfId="0" applyFont="1" applyAlignment="1">
      <alignment wrapText="1"/>
    </xf>
    <xf numFmtId="0" fontId="3" fillId="2" borderId="1" xfId="21"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justify" vertical="center"/>
    </xf>
    <xf numFmtId="0" fontId="1" fillId="0" borderId="1" xfId="0" applyFont="1" applyBorder="1" applyAlignment="1">
      <alignment horizontal="left" vertical="center" wrapText="1"/>
    </xf>
    <xf numFmtId="0" fontId="1" fillId="0" borderId="2" xfId="0" applyFont="1" applyBorder="1" applyAlignment="1">
      <alignment horizontal="center" vertical="center"/>
    </xf>
    <xf numFmtId="0" fontId="1" fillId="0" borderId="1" xfId="0" applyFont="1" applyBorder="1" applyAlignment="1">
      <alignment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justify" vertical="center" wrapText="1"/>
    </xf>
    <xf numFmtId="0" fontId="1" fillId="0" borderId="1" xfId="0" applyFont="1" applyBorder="1" applyAlignment="1">
      <alignment horizontal="center" vertical="center" wrapText="1"/>
    </xf>
    <xf numFmtId="0" fontId="1" fillId="0" borderId="1" xfId="0" applyFont="1" applyBorder="1">
      <alignment vertical="center"/>
    </xf>
    <xf numFmtId="0" fontId="0" fillId="0" borderId="1" xfId="0" applyBorder="1" applyAlignment="1">
      <alignment horizontal="center" vertical="center" wrapText="1"/>
    </xf>
    <xf numFmtId="0" fontId="3" fillId="2" borderId="1" xfId="21" applyFont="1" applyFill="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vertical="top" wrapText="1"/>
    </xf>
    <xf numFmtId="0" fontId="1" fillId="0" borderId="2" xfId="0" applyFont="1" applyBorder="1" applyAlignment="1">
      <alignment horizontal="center" vertical="center" wrapText="1"/>
    </xf>
    <xf numFmtId="0" fontId="0" fillId="0" borderId="1" xfId="0" applyBorder="1" applyAlignment="1">
      <alignment horizontal="center" vertical="center"/>
    </xf>
    <xf numFmtId="0" fontId="4" fillId="3" borderId="0" xfId="0" applyFont="1" applyFill="1" applyAlignment="1"/>
    <xf numFmtId="0" fontId="4" fillId="3" borderId="1" xfId="0" applyFont="1" applyFill="1" applyBorder="1" applyAlignment="1"/>
    <xf numFmtId="0" fontId="4" fillId="4" borderId="1" xfId="0" applyFont="1" applyFill="1" applyBorder="1" applyAlignment="1"/>
    <xf numFmtId="0" fontId="4" fillId="4" borderId="0" xfId="0" applyFont="1" applyFill="1" applyAlignment="1"/>
    <xf numFmtId="0" fontId="5" fillId="3" borderId="1" xfId="0" applyFont="1" applyFill="1" applyBorder="1" applyAlignment="1">
      <alignment horizontal="center" vertical="top"/>
    </xf>
    <xf numFmtId="0" fontId="5" fillId="3" borderId="1" xfId="0" applyFont="1" applyFill="1" applyBorder="1" applyAlignment="1">
      <alignment vertical="top"/>
    </xf>
    <xf numFmtId="0" fontId="6" fillId="3" borderId="1" xfId="0" applyFont="1" applyFill="1" applyBorder="1" applyAlignment="1">
      <alignment vertical="top" wrapText="1"/>
    </xf>
    <xf numFmtId="0" fontId="5" fillId="3" borderId="1" xfId="0" applyFont="1" applyFill="1" applyBorder="1" applyAlignment="1">
      <alignment horizontal="center" vertical="top" wrapText="1"/>
    </xf>
    <xf numFmtId="0" fontId="6" fillId="3" borderId="1" xfId="0" applyFont="1" applyFill="1" applyBorder="1" applyAlignment="1">
      <alignment horizontal="center" vertical="top"/>
    </xf>
    <xf numFmtId="0" fontId="6" fillId="3" borderId="1" xfId="0" applyFont="1" applyFill="1" applyBorder="1" applyAlignment="1">
      <alignment vertical="top"/>
    </xf>
    <xf numFmtId="0" fontId="5" fillId="3" borderId="1" xfId="0" applyFont="1" applyFill="1" applyBorder="1" applyAlignment="1">
      <alignment vertical="top" wrapText="1"/>
    </xf>
    <xf numFmtId="0" fontId="6" fillId="3" borderId="1" xfId="0" applyFont="1" applyFill="1" applyBorder="1" applyAlignment="1">
      <alignment horizontal="center" vertical="top" wrapText="1"/>
    </xf>
    <xf numFmtId="0" fontId="5" fillId="3" borderId="1" xfId="0" applyFont="1" applyFill="1" applyBorder="1" applyAlignment="1">
      <alignment horizontal="left" vertical="center"/>
    </xf>
    <xf numFmtId="0" fontId="6" fillId="3" borderId="2" xfId="0" applyFont="1" applyFill="1" applyBorder="1" applyAlignment="1">
      <alignment horizontal="center" vertical="top"/>
    </xf>
    <xf numFmtId="0" fontId="6" fillId="3" borderId="2" xfId="0" applyFont="1" applyFill="1" applyBorder="1" applyAlignment="1">
      <alignment vertical="top"/>
    </xf>
    <xf numFmtId="0" fontId="5" fillId="3" borderId="2" xfId="0" applyFont="1" applyFill="1" applyBorder="1" applyAlignment="1">
      <alignment horizontal="left" vertical="center"/>
    </xf>
    <xf numFmtId="0" fontId="5" fillId="3" borderId="2" xfId="0" applyFont="1" applyFill="1" applyBorder="1" applyAlignment="1">
      <alignment vertical="top" wrapText="1"/>
    </xf>
    <xf numFmtId="0" fontId="5" fillId="3" borderId="2" xfId="0" applyFont="1" applyFill="1" applyBorder="1" applyAlignment="1">
      <alignment horizontal="center" vertical="top"/>
    </xf>
    <xf numFmtId="0" fontId="6" fillId="3" borderId="1" xfId="0" applyFont="1" applyFill="1" applyBorder="1" applyAlignment="1">
      <alignment horizontal="left" vertical="top"/>
    </xf>
    <xf numFmtId="0" fontId="5" fillId="4" borderId="1" xfId="0" applyFont="1" applyFill="1" applyBorder="1" applyAlignment="1">
      <alignment horizontal="center" vertical="top" wrapText="1"/>
    </xf>
    <xf numFmtId="0" fontId="6" fillId="4" borderId="1" xfId="0" applyFont="1" applyFill="1" applyBorder="1" applyAlignment="1">
      <alignment horizontal="center" vertical="top"/>
    </xf>
    <xf numFmtId="0" fontId="6" fillId="4" borderId="1" xfId="0" applyFont="1" applyFill="1" applyBorder="1" applyAlignment="1">
      <alignment vertical="top"/>
    </xf>
    <xf numFmtId="0" fontId="6" fillId="4" borderId="1" xfId="0" applyFont="1" applyFill="1" applyBorder="1" applyAlignment="1">
      <alignment horizontal="left" vertical="top"/>
    </xf>
    <xf numFmtId="0" fontId="6" fillId="4" borderId="1" xfId="0" applyFont="1" applyFill="1" applyBorder="1" applyAlignment="1">
      <alignment vertical="top" wrapText="1"/>
    </xf>
    <xf numFmtId="0" fontId="6" fillId="4" borderId="1" xfId="0" applyFont="1" applyFill="1" applyBorder="1" applyAlignment="1">
      <alignment horizontal="center" vertical="top" wrapText="1"/>
    </xf>
    <xf numFmtId="0" fontId="5" fillId="4"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6" fillId="3" borderId="2" xfId="0" applyFont="1" applyFill="1" applyBorder="1" applyAlignment="1">
      <alignment vertical="top" wrapText="1"/>
    </xf>
    <xf numFmtId="0" fontId="5" fillId="3" borderId="2" xfId="0" applyFont="1" applyFill="1" applyBorder="1" applyAlignment="1">
      <alignment horizontal="center" vertical="center" wrapText="1"/>
    </xf>
    <xf numFmtId="0" fontId="5" fillId="3" borderId="2" xfId="0" applyFont="1" applyFill="1" applyBorder="1" applyAlignment="1">
      <alignment horizontal="center" vertical="top" wrapText="1"/>
    </xf>
    <xf numFmtId="0" fontId="6" fillId="3" borderId="1" xfId="0" applyFont="1" applyFill="1" applyBorder="1" applyAlignment="1">
      <alignment vertical="center" wrapText="1"/>
    </xf>
    <xf numFmtId="0" fontId="6" fillId="4" borderId="1" xfId="0" applyFont="1" applyFill="1" applyBorder="1" applyAlignment="1">
      <alignment vertical="center" wrapText="1"/>
    </xf>
    <xf numFmtId="0" fontId="6" fillId="4" borderId="1" xfId="51" applyFont="1" applyFill="1" applyBorder="1" applyAlignment="1"/>
    <xf numFmtId="0" fontId="1" fillId="5" borderId="1" xfId="0" applyFont="1" applyFill="1" applyBorder="1" applyAlignment="1">
      <alignment horizontal="center"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0" fillId="0" borderId="1" xfId="0" applyBorder="1">
      <alignment vertical="center"/>
    </xf>
    <xf numFmtId="0" fontId="6" fillId="0" borderId="0" xfId="0" applyFont="1">
      <alignment vertical="center"/>
    </xf>
    <xf numFmtId="0" fontId="6" fillId="3" borderId="0" xfId="0" applyFont="1" applyFill="1">
      <alignment vertical="center"/>
    </xf>
    <xf numFmtId="0" fontId="0" fillId="0" borderId="1" xfId="0" applyBorder="1" applyAlignment="1">
      <alignment vertical="center" wrapText="1"/>
    </xf>
    <xf numFmtId="0" fontId="5" fillId="0" borderId="1" xfId="0" applyFont="1" applyBorder="1" applyAlignment="1">
      <alignment horizontal="center" vertical="center"/>
    </xf>
    <xf numFmtId="0" fontId="5" fillId="0" borderId="1" xfId="0" applyFont="1" applyBorder="1" applyAlignment="1">
      <alignment horizontal="justify" vertical="center" wrapText="1"/>
    </xf>
    <xf numFmtId="0" fontId="6" fillId="0" borderId="1" xfId="0" applyFont="1" applyBorder="1" applyAlignment="1">
      <alignment vertical="center" wrapText="1"/>
    </xf>
    <xf numFmtId="0" fontId="5" fillId="0" borderId="1" xfId="0" applyFont="1" applyBorder="1" applyAlignment="1">
      <alignment horizontal="justify" vertical="center"/>
    </xf>
    <xf numFmtId="0" fontId="6" fillId="0" borderId="1" xfId="0" applyFont="1" applyBorder="1" applyAlignment="1">
      <alignment horizontal="center" vertical="center"/>
    </xf>
    <xf numFmtId="0" fontId="1" fillId="0" borderId="2" xfId="0" applyFont="1" applyBorder="1" applyAlignment="1">
      <alignment horizontal="justify" vertical="center" wrapText="1"/>
    </xf>
    <xf numFmtId="0" fontId="0" fillId="0" borderId="2" xfId="0" applyBorder="1" applyAlignment="1">
      <alignment vertical="center" wrapText="1"/>
    </xf>
    <xf numFmtId="0" fontId="1" fillId="0" borderId="2" xfId="0" applyFont="1" applyBorder="1" applyAlignment="1">
      <alignment horizontal="justify" vertical="center"/>
    </xf>
    <xf numFmtId="0" fontId="0" fillId="0" borderId="2" xfId="0" applyBorder="1" applyAlignment="1">
      <alignment horizontal="center" vertical="center"/>
    </xf>
    <xf numFmtId="0" fontId="5"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5" fillId="3" borderId="1" xfId="0" applyFont="1" applyFill="1" applyBorder="1" applyAlignment="1">
      <alignment vertical="center" wrapText="1"/>
    </xf>
    <xf numFmtId="0" fontId="6" fillId="3"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left" vertical="center"/>
    </xf>
    <xf numFmtId="0" fontId="0" fillId="0" borderId="2" xfId="0" applyBorder="1" applyAlignment="1">
      <alignment horizontal="center" vertical="center" wrapText="1"/>
    </xf>
    <xf numFmtId="0" fontId="1" fillId="0" borderId="2" xfId="0" applyFont="1" applyBorder="1" applyAlignment="1">
      <alignment horizontal="left" vertical="center"/>
    </xf>
    <xf numFmtId="0" fontId="6" fillId="3" borderId="1" xfId="0" applyFont="1" applyFill="1" applyBorder="1" applyAlignment="1">
      <alignment horizontal="center" vertical="center" wrapText="1"/>
    </xf>
    <xf numFmtId="0" fontId="7" fillId="3" borderId="1" xfId="0" applyFont="1" applyFill="1" applyBorder="1" applyAlignment="1">
      <alignment vertical="center" wrapText="1"/>
    </xf>
    <xf numFmtId="0" fontId="6" fillId="3" borderId="1" xfId="0" applyFont="1" applyFill="1" applyBorder="1">
      <alignment vertical="center"/>
    </xf>
    <xf numFmtId="0" fontId="1" fillId="0" borderId="1" xfId="0" applyFont="1" applyBorder="1" applyAlignment="1">
      <alignment horizontal="left" vertical="center"/>
    </xf>
    <xf numFmtId="0" fontId="0" fillId="0" borderId="3" xfId="0" applyBorder="1" applyAlignment="1">
      <alignment horizontal="center" vertical="center"/>
    </xf>
    <xf numFmtId="0" fontId="1" fillId="0" borderId="1" xfId="18" applyFont="1" applyBorder="1" applyAlignment="1">
      <alignment horizontal="center" vertical="center"/>
    </xf>
    <xf numFmtId="0" fontId="1" fillId="0" borderId="1" xfId="18" applyFont="1" applyBorder="1" applyAlignment="1">
      <alignment horizontal="justify" vertical="center"/>
    </xf>
    <xf numFmtId="0" fontId="0" fillId="0" borderId="1" xfId="18" applyBorder="1" applyAlignment="1">
      <alignment vertical="center" wrapText="1"/>
    </xf>
    <xf numFmtId="0" fontId="0" fillId="0" borderId="1" xfId="18" applyBorder="1" applyAlignment="1">
      <alignment horizontal="center" vertical="center" wrapText="1"/>
    </xf>
    <xf numFmtId="0" fontId="1" fillId="0" borderId="1" xfId="52" applyFont="1" applyBorder="1" applyAlignment="1">
      <alignment horizontal="center" vertical="center"/>
    </xf>
    <xf numFmtId="0" fontId="1" fillId="0" borderId="1" xfId="52" applyFont="1" applyBorder="1" applyAlignment="1">
      <alignment horizontal="justify" vertical="center"/>
    </xf>
    <xf numFmtId="0" fontId="0" fillId="0" borderId="1" xfId="52" applyBorder="1" applyAlignment="1">
      <alignment vertical="center" wrapText="1"/>
    </xf>
    <xf numFmtId="0" fontId="0" fillId="0" borderId="1" xfId="0" applyBorder="1" applyAlignment="1">
      <alignment horizontal="justify" vertical="center"/>
    </xf>
    <xf numFmtId="0" fontId="8" fillId="0" borderId="1" xfId="0" applyFont="1" applyBorder="1" applyAlignment="1">
      <alignment horizontal="justify" vertical="center"/>
    </xf>
    <xf numFmtId="0" fontId="0" fillId="0" borderId="4" xfId="0" applyBorder="1" applyAlignment="1">
      <alignment horizontal="center" vertical="center"/>
    </xf>
    <xf numFmtId="0" fontId="0" fillId="0" borderId="2" xfId="18" applyBorder="1" applyAlignment="1">
      <alignment vertical="center" wrapText="1"/>
    </xf>
    <xf numFmtId="0" fontId="5" fillId="0" borderId="1" xfId="0" applyFont="1" applyBorder="1" applyAlignment="1">
      <alignment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 fillId="0" borderId="1" xfId="54" applyFont="1" applyBorder="1" applyAlignment="1">
      <alignment horizontal="center" vertical="center"/>
    </xf>
    <xf numFmtId="0" fontId="1" fillId="0" borderId="1" xfId="54" applyFont="1" applyBorder="1" applyAlignment="1">
      <alignment horizontal="justify" vertical="center"/>
    </xf>
    <xf numFmtId="0" fontId="1" fillId="0" borderId="1" xfId="54" applyFont="1" applyBorder="1" applyAlignment="1">
      <alignment horizontal="center" vertical="center" wrapText="1"/>
    </xf>
    <xf numFmtId="0" fontId="1" fillId="0" borderId="1" xfId="0" applyFont="1" applyBorder="1" applyAlignment="1">
      <alignment vertical="top" wrapText="1"/>
    </xf>
    <xf numFmtId="0" fontId="1" fillId="0" borderId="2" xfId="0" applyFont="1" applyBorder="1" applyAlignment="1">
      <alignment vertical="center" wrapText="1"/>
    </xf>
    <xf numFmtId="0" fontId="1" fillId="0" borderId="3" xfId="0" applyFont="1" applyBorder="1" applyAlignment="1">
      <alignment vertical="center" wrapText="1"/>
    </xf>
    <xf numFmtId="0" fontId="3" fillId="0" borderId="1" xfId="21" applyFont="1" applyBorder="1" applyAlignment="1">
      <alignment horizontal="center" vertical="center"/>
    </xf>
    <xf numFmtId="0" fontId="1" fillId="0" borderId="1" xfId="0" applyFont="1" applyBorder="1" applyAlignment="1">
      <alignment horizontal="center" vertical="top"/>
    </xf>
    <xf numFmtId="0" fontId="1" fillId="0" borderId="1" xfId="0" applyFont="1" applyBorder="1" applyAlignment="1">
      <alignment horizontal="justify" vertical="top"/>
    </xf>
    <xf numFmtId="0" fontId="1" fillId="0" borderId="1" xfId="0" applyFont="1" applyBorder="1" applyAlignment="1">
      <alignment horizontal="left" vertical="top" wrapText="1"/>
    </xf>
    <xf numFmtId="0" fontId="1" fillId="0" borderId="2" xfId="0" applyFont="1" applyBorder="1" applyAlignment="1">
      <alignment horizontal="center" vertical="top"/>
    </xf>
    <xf numFmtId="0" fontId="1" fillId="0" borderId="1" xfId="0" applyFont="1" applyBorder="1" applyAlignment="1">
      <alignment horizontal="justify" vertical="top" wrapText="1"/>
    </xf>
    <xf numFmtId="0" fontId="1" fillId="0" borderId="2" xfId="0" applyFont="1" applyBorder="1" applyAlignment="1">
      <alignment horizontal="center" vertical="top" wrapText="1"/>
    </xf>
    <xf numFmtId="0" fontId="1" fillId="0" borderId="2" xfId="0" applyFont="1" applyBorder="1" applyAlignment="1">
      <alignment horizontal="left" vertical="top" wrapText="1"/>
    </xf>
    <xf numFmtId="0" fontId="1" fillId="0" borderId="4" xfId="0" applyFont="1" applyBorder="1" applyAlignment="1">
      <alignment horizontal="center" vertical="top"/>
    </xf>
    <xf numFmtId="0" fontId="1" fillId="0" borderId="4" xfId="0" applyFont="1" applyBorder="1" applyAlignment="1">
      <alignment horizontal="center" vertical="top" wrapText="1"/>
    </xf>
    <xf numFmtId="0" fontId="1" fillId="0" borderId="4" xfId="0" applyFont="1" applyBorder="1" applyAlignment="1">
      <alignment horizontal="left" vertical="top" wrapText="1"/>
    </xf>
    <xf numFmtId="0" fontId="1" fillId="0" borderId="1" xfId="0" applyFont="1" applyBorder="1" applyAlignment="1">
      <alignment horizontal="center" vertical="top" wrapText="1"/>
    </xf>
    <xf numFmtId="0" fontId="1" fillId="4" borderId="1" xfId="0" applyFont="1" applyFill="1" applyBorder="1">
      <alignment vertical="center"/>
    </xf>
    <xf numFmtId="0" fontId="1" fillId="4" borderId="1" xfId="0" applyFont="1" applyFill="1" applyBorder="1" applyAlignment="1">
      <alignment vertical="center" wrapText="1"/>
    </xf>
    <xf numFmtId="0" fontId="1" fillId="4" borderId="1" xfId="0" applyFont="1" applyFill="1" applyBorder="1" applyAlignment="1">
      <alignment horizontal="center" vertical="center"/>
    </xf>
    <xf numFmtId="0" fontId="1" fillId="0" borderId="0" xfId="0" applyFont="1" applyAlignment="1">
      <alignment horizontal="center" vertical="center"/>
    </xf>
    <xf numFmtId="0" fontId="1" fillId="0" borderId="1" xfId="0" applyFont="1" applyBorder="1" applyAlignment="1">
      <alignment vertical="top"/>
    </xf>
    <xf numFmtId="0" fontId="1" fillId="4" borderId="2" xfId="0" applyFont="1" applyFill="1" applyBorder="1" applyAlignment="1">
      <alignment vertical="center" wrapText="1"/>
    </xf>
    <xf numFmtId="0" fontId="0" fillId="0" borderId="1" xfId="0" applyBorder="1" applyAlignment="1">
      <alignment horizontal="justify" vertical="center" wrapText="1"/>
    </xf>
    <xf numFmtId="0" fontId="0" fillId="0" borderId="1" xfId="0" applyBorder="1" applyAlignment="1">
      <alignment horizontal="left" vertical="center" wrapText="1"/>
    </xf>
    <xf numFmtId="0" fontId="6" fillId="4" borderId="0" xfId="0" applyFont="1" applyFill="1">
      <alignment vertical="center"/>
    </xf>
    <xf numFmtId="0" fontId="9" fillId="3" borderId="1" xfId="0" applyFont="1" applyFill="1" applyBorder="1" applyAlignment="1">
      <alignment horizontal="center" vertical="center"/>
    </xf>
    <xf numFmtId="0" fontId="9" fillId="3" borderId="1" xfId="0" applyFont="1" applyFill="1" applyBorder="1" applyAlignment="1">
      <alignment horizontal="left" vertical="center"/>
    </xf>
    <xf numFmtId="0" fontId="9" fillId="4" borderId="1" xfId="0" applyFont="1" applyFill="1" applyBorder="1" applyAlignment="1">
      <alignment horizontal="center" vertical="center"/>
    </xf>
    <xf numFmtId="0" fontId="9" fillId="4" borderId="1" xfId="0" applyFont="1" applyFill="1" applyBorder="1" applyAlignment="1">
      <alignment horizontal="left" vertical="center" wrapText="1"/>
    </xf>
    <xf numFmtId="0" fontId="9" fillId="3" borderId="1" xfId="0" applyFont="1" applyFill="1" applyBorder="1" applyAlignment="1">
      <alignment horizontal="left"/>
    </xf>
    <xf numFmtId="0" fontId="9" fillId="4" borderId="1" xfId="0" applyFont="1" applyFill="1" applyBorder="1" applyAlignment="1">
      <alignment vertical="center" wrapText="1"/>
    </xf>
    <xf numFmtId="0" fontId="0" fillId="0" borderId="0" xfId="0" applyAlignment="1">
      <alignment vertical="center" wrapText="1"/>
    </xf>
    <xf numFmtId="0" fontId="10" fillId="3" borderId="0" xfId="0" applyFont="1" applyFill="1">
      <alignment vertical="center"/>
    </xf>
    <xf numFmtId="0" fontId="5" fillId="3" borderId="0" xfId="0" applyFont="1" applyFill="1">
      <alignment vertical="center"/>
    </xf>
    <xf numFmtId="0" fontId="11" fillId="3" borderId="1" xfId="21" applyFont="1" applyFill="1" applyBorder="1" applyAlignment="1">
      <alignment horizontal="center" vertical="center"/>
    </xf>
    <xf numFmtId="0" fontId="11" fillId="3" borderId="1" xfId="21" applyFont="1" applyFill="1" applyBorder="1" applyAlignment="1">
      <alignment horizontal="center"/>
    </xf>
    <xf numFmtId="0" fontId="5" fillId="3" borderId="1" xfId="0" applyFont="1" applyFill="1" applyBorder="1" applyAlignment="1">
      <alignment horizontal="justify" vertical="center" wrapText="1"/>
    </xf>
    <xf numFmtId="0" fontId="5" fillId="3" borderId="1" xfId="0" applyFont="1" applyFill="1" applyBorder="1" applyAlignment="1">
      <alignment horizontal="justify" vertical="center"/>
    </xf>
    <xf numFmtId="0" fontId="6" fillId="3" borderId="1" xfId="21" applyFont="1" applyFill="1" applyBorder="1" applyAlignment="1">
      <alignment horizontal="center" vertical="center"/>
    </xf>
    <xf numFmtId="0" fontId="6" fillId="3" borderId="1" xfId="21" applyFont="1" applyFill="1" applyBorder="1" applyAlignment="1">
      <alignment horizontal="center"/>
    </xf>
    <xf numFmtId="0" fontId="5" fillId="3" borderId="0" xfId="0" applyFont="1" applyFill="1" applyAlignment="1">
      <alignment horizontal="justify" vertical="center"/>
    </xf>
    <xf numFmtId="0" fontId="6" fillId="3" borderId="1" xfId="21" applyFont="1" applyFill="1" applyBorder="1" applyAlignment="1">
      <alignment horizontal="left"/>
    </xf>
    <xf numFmtId="0" fontId="5" fillId="3" borderId="1" xfId="0" applyFont="1" applyFill="1" applyBorder="1">
      <alignment vertical="center"/>
    </xf>
    <xf numFmtId="0" fontId="5" fillId="3" borderId="5" xfId="0" applyFont="1" applyFill="1" applyBorder="1" applyAlignment="1">
      <alignment horizontal="left" vertical="center" wrapText="1"/>
    </xf>
    <xf numFmtId="0" fontId="5" fillId="3" borderId="6" xfId="0" applyFont="1" applyFill="1" applyBorder="1" applyAlignment="1">
      <alignment horizontal="left" vertical="center" wrapText="1"/>
    </xf>
    <xf numFmtId="0" fontId="5" fillId="3" borderId="7" xfId="0" applyFont="1" applyFill="1" applyBorder="1" applyAlignment="1">
      <alignment horizontal="left" vertical="center" wrapText="1"/>
    </xf>
    <xf numFmtId="0" fontId="5" fillId="3" borderId="1" xfId="0" applyFont="1" applyFill="1" applyBorder="1" applyAlignment="1">
      <alignment horizontal="left" vertical="center" wrapText="1"/>
    </xf>
    <xf numFmtId="0" fontId="10" fillId="3" borderId="0" xfId="0" applyFont="1" applyFill="1" applyAlignment="1">
      <alignment vertical="center" wrapText="1"/>
    </xf>
    <xf numFmtId="0" fontId="6" fillId="3" borderId="0" xfId="21" applyFont="1" applyFill="1" applyAlignment="1">
      <alignment wrapText="1"/>
    </xf>
    <xf numFmtId="0" fontId="5" fillId="3" borderId="0" xfId="0" applyFont="1" applyFill="1" applyAlignment="1">
      <alignment vertical="center" wrapText="1"/>
    </xf>
    <xf numFmtId="0" fontId="5" fillId="3" borderId="0" xfId="0" applyFont="1" applyFill="1" applyAlignment="1">
      <alignment horizontal="left" vertical="center" wrapText="1"/>
    </xf>
    <xf numFmtId="0" fontId="11" fillId="3" borderId="1" xfId="21" applyFont="1" applyFill="1" applyBorder="1" applyAlignment="1">
      <alignment horizontal="center" wrapText="1"/>
    </xf>
    <xf numFmtId="0" fontId="5" fillId="3" borderId="1" xfId="21" applyFont="1" applyFill="1" applyBorder="1" applyAlignment="1">
      <alignment wrapText="1"/>
    </xf>
    <xf numFmtId="14" fontId="5" fillId="3" borderId="1" xfId="21" applyNumberFormat="1" applyFont="1" applyFill="1" applyBorder="1" applyAlignment="1">
      <alignment horizontal="left" wrapText="1"/>
    </xf>
    <xf numFmtId="0" fontId="6" fillId="3" borderId="1" xfId="0" applyFont="1" applyFill="1" applyBorder="1" applyAlignment="1">
      <alignment horizontal="justify" vertical="center" wrapText="1"/>
    </xf>
    <xf numFmtId="176" fontId="5" fillId="3" borderId="1" xfId="0" applyNumberFormat="1" applyFont="1" applyFill="1" applyBorder="1" applyAlignment="1">
      <alignment horizontal="left" vertical="center" wrapText="1"/>
    </xf>
    <xf numFmtId="14" fontId="5" fillId="3" borderId="1" xfId="0" applyNumberFormat="1" applyFont="1" applyFill="1" applyBorder="1" applyAlignment="1">
      <alignment horizontal="left" vertical="center" wrapText="1"/>
    </xf>
    <xf numFmtId="0" fontId="6" fillId="3" borderId="1" xfId="21" applyFont="1" applyFill="1" applyBorder="1" applyAlignment="1">
      <alignment horizontal="center" wrapText="1"/>
    </xf>
    <xf numFmtId="0" fontId="6" fillId="3" borderId="1" xfId="21" applyFont="1" applyFill="1" applyBorder="1" applyAlignment="1">
      <alignment wrapText="1"/>
    </xf>
    <xf numFmtId="14" fontId="6" fillId="3" borderId="1" xfId="21" applyNumberFormat="1" applyFont="1" applyFill="1" applyBorder="1" applyAlignment="1">
      <alignment horizontal="center" wrapText="1"/>
    </xf>
    <xf numFmtId="0" fontId="6" fillId="3" borderId="1" xfId="21" applyFont="1" applyFill="1" applyBorder="1" applyAlignment="1">
      <alignment horizontal="left" wrapText="1"/>
    </xf>
    <xf numFmtId="14" fontId="6" fillId="3" borderId="1" xfId="21" applyNumberFormat="1" applyFont="1" applyFill="1" applyBorder="1" applyAlignment="1">
      <alignment horizontal="left" vertical="top" wrapText="1"/>
    </xf>
    <xf numFmtId="0" fontId="5" fillId="3" borderId="1" xfId="0" applyFont="1" applyFill="1" applyBorder="1" applyAlignment="1">
      <alignment wrapText="1"/>
    </xf>
    <xf numFmtId="31" fontId="5" fillId="3" borderId="1" xfId="0" applyNumberFormat="1" applyFont="1" applyFill="1" applyBorder="1" applyAlignment="1">
      <alignment vertical="center" wrapText="1"/>
    </xf>
    <xf numFmtId="14" fontId="6" fillId="3" borderId="1" xfId="21" applyNumberFormat="1" applyFont="1" applyFill="1" applyBorder="1" applyAlignment="1">
      <alignment horizontal="left" vertical="center" wrapText="1"/>
    </xf>
    <xf numFmtId="49" fontId="5" fillId="3" borderId="1" xfId="0" applyNumberFormat="1" applyFont="1" applyFill="1" applyBorder="1" applyAlignment="1">
      <alignment horizontal="left" vertical="center" wrapText="1"/>
    </xf>
    <xf numFmtId="57" fontId="6" fillId="3" borderId="1" xfId="21" applyNumberFormat="1" applyFont="1" applyFill="1" applyBorder="1" applyAlignment="1">
      <alignment horizontal="center" vertical="center"/>
    </xf>
    <xf numFmtId="0" fontId="6" fillId="3" borderId="1" xfId="21" applyFont="1" applyFill="1" applyBorder="1" applyAlignment="1">
      <alignment vertical="center" wrapText="1"/>
    </xf>
    <xf numFmtId="0" fontId="5" fillId="3" borderId="1" xfId="21" applyFont="1" applyFill="1" applyBorder="1" applyAlignment="1">
      <alignment vertical="center"/>
    </xf>
    <xf numFmtId="0" fontId="5" fillId="3" borderId="2" xfId="21" applyFont="1" applyFill="1" applyBorder="1" applyAlignment="1">
      <alignment horizontal="left" vertical="center"/>
    </xf>
    <xf numFmtId="14" fontId="5" fillId="3" borderId="2" xfId="0" applyNumberFormat="1" applyFont="1" applyFill="1" applyBorder="1" applyAlignment="1">
      <alignment horizontal="left" vertical="center" wrapText="1"/>
    </xf>
    <xf numFmtId="0" fontId="5" fillId="3" borderId="2" xfId="0" applyFont="1" applyFill="1" applyBorder="1" applyAlignment="1">
      <alignment vertical="center" wrapText="1"/>
    </xf>
    <xf numFmtId="0" fontId="5" fillId="3" borderId="3" xfId="21" applyFont="1" applyFill="1" applyBorder="1" applyAlignment="1">
      <alignment horizontal="left" vertical="center"/>
    </xf>
    <xf numFmtId="0" fontId="5" fillId="4" borderId="1" xfId="0" applyFont="1" applyFill="1" applyBorder="1" applyAlignment="1">
      <alignment horizontal="left" vertical="center" wrapText="1"/>
    </xf>
    <xf numFmtId="14" fontId="5" fillId="4" borderId="1" xfId="0" applyNumberFormat="1" applyFont="1" applyFill="1" applyBorder="1" applyAlignment="1">
      <alignment horizontal="left" vertical="center" wrapText="1"/>
    </xf>
    <xf numFmtId="14" fontId="6" fillId="4" borderId="1" xfId="21" applyNumberFormat="1" applyFont="1" applyFill="1" applyBorder="1" applyAlignment="1">
      <alignment horizontal="left" vertical="center" wrapText="1"/>
    </xf>
    <xf numFmtId="0" fontId="5" fillId="4" borderId="1" xfId="0" applyFont="1" applyFill="1" applyBorder="1" applyAlignment="1">
      <alignment vertical="center" wrapText="1"/>
    </xf>
  </cellXfs>
  <cellStyles count="55">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常规 12" xfId="18"/>
    <cellStyle name="解释性文本" xfId="19" builtinId="53"/>
    <cellStyle name="标题 1" xfId="20" builtinId="16"/>
    <cellStyle name="0,0_x000d__x000a_NA_x000d__x000a_" xfId="21"/>
    <cellStyle name="标题 2" xfId="22" builtinId="17"/>
    <cellStyle name="60% - 强调文字颜色 1" xfId="23" builtinId="32"/>
    <cellStyle name="标题 3" xfId="24" builtinId="18"/>
    <cellStyle name="60% - 强调文字颜色 4" xfId="25" builtinId="44"/>
    <cellStyle name="输出" xfId="26" builtinId="21"/>
    <cellStyle name="计算" xfId="27" builtinId="22"/>
    <cellStyle name="检查单元格" xfId="28" builtinId="23"/>
    <cellStyle name="20% - 强调文字颜色 6" xfId="29" builtinId="50"/>
    <cellStyle name="强调文字颜色 2" xfId="30" builtinId="33"/>
    <cellStyle name="链接单元格" xfId="31" builtinId="24"/>
    <cellStyle name="汇总" xfId="32" builtinId="25"/>
    <cellStyle name="好" xfId="33" builtinId="26"/>
    <cellStyle name="适中" xfId="34" builtinId="28"/>
    <cellStyle name="20% - 强调文字颜色 5" xfId="35" builtinId="46"/>
    <cellStyle name="强调文字颜色 1" xfId="36" builtinId="29"/>
    <cellStyle name="20% - 强调文字颜色 1" xfId="37" builtinId="30"/>
    <cellStyle name="40% - 强调文字颜色 1" xfId="38" builtinId="31"/>
    <cellStyle name="20% - 强调文字颜色 2" xfId="39" builtinId="34"/>
    <cellStyle name="40% - 强调文字颜色 2" xfId="40" builtinId="35"/>
    <cellStyle name="强调文字颜色 3" xfId="41" builtinId="37"/>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常规 11" xfId="51"/>
    <cellStyle name="常规 13" xfId="52"/>
    <cellStyle name="常规 2" xfId="53"/>
    <cellStyle name="常规 7" xfId="54"/>
  </cellStyles>
  <tableStyles count="0" defaultTableStyle="TableStyleMedium2" defaultPivotStyle="PivotStyleLight16"/>
  <colors>
    <mruColors>
      <color rgb="00FF0000"/>
      <color rgb="00C0C0C0"/>
      <color rgb="006DAD8A"/>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schemas.openxmlformats.org/officeDocument/2006/relationships/sharedStrings" Target="sharedStrings.xml"/><Relationship Id="rId27" Type="http://schemas.openxmlformats.org/officeDocument/2006/relationships/styles" Target="styles.xml"/><Relationship Id="rId26" Type="http://schemas.openxmlformats.org/officeDocument/2006/relationships/theme" Target="theme/theme1.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4.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B050"/>
  </sheetPr>
  <dimension ref="A1:E180"/>
  <sheetViews>
    <sheetView tabSelected="1" topLeftCell="A164" workbookViewId="0">
      <selection activeCell="D177" sqref="D177"/>
    </sheetView>
  </sheetViews>
  <sheetFormatPr defaultColWidth="9" defaultRowHeight="13" outlineLevelCol="4"/>
  <cols>
    <col min="1" max="1" width="6.43" style="152" customWidth="1"/>
    <col min="2" max="2" width="11.86" style="153" customWidth="1"/>
    <col min="3" max="3" width="22" style="153" customWidth="1"/>
    <col min="4" max="4" width="82" style="152" customWidth="1"/>
    <col min="5" max="5" width="28.43" style="152" customWidth="1"/>
    <col min="6" max="16384" width="9" style="152"/>
  </cols>
  <sheetData>
    <row r="1" s="150" customFormat="1" spans="1:5">
      <c r="A1" s="154" t="s">
        <v>0</v>
      </c>
      <c r="B1" s="154" t="s">
        <v>1</v>
      </c>
      <c r="C1" s="154" t="s">
        <v>2</v>
      </c>
      <c r="D1" s="154" t="s">
        <v>3</v>
      </c>
      <c r="E1" s="154" t="s">
        <v>4</v>
      </c>
    </row>
    <row r="2" ht="26" spans="1:5">
      <c r="A2" s="155" t="s">
        <v>5</v>
      </c>
      <c r="B2" s="156">
        <v>40844</v>
      </c>
      <c r="C2" s="156"/>
      <c r="D2" s="155" t="s">
        <v>6</v>
      </c>
      <c r="E2" s="155" t="s">
        <v>7</v>
      </c>
    </row>
    <row r="3" spans="1:5">
      <c r="A3" s="139"/>
      <c r="B3" s="156">
        <v>40871</v>
      </c>
      <c r="C3" s="156"/>
      <c r="D3" s="157" t="s">
        <v>8</v>
      </c>
      <c r="E3" s="139" t="s">
        <v>9</v>
      </c>
    </row>
    <row r="4" spans="1:5">
      <c r="A4" s="139"/>
      <c r="B4" s="158"/>
      <c r="C4" s="158"/>
      <c r="D4" s="157" t="s">
        <v>10</v>
      </c>
      <c r="E4" s="139"/>
    </row>
    <row r="5" spans="1:5">
      <c r="A5" s="139"/>
      <c r="B5" s="158"/>
      <c r="C5" s="158"/>
      <c r="D5" s="157" t="s">
        <v>11</v>
      </c>
      <c r="E5" s="139"/>
    </row>
    <row r="6" spans="1:5">
      <c r="A6" s="139"/>
      <c r="B6" s="158"/>
      <c r="C6" s="158"/>
      <c r="D6" s="139" t="s">
        <v>12</v>
      </c>
      <c r="E6" s="139"/>
    </row>
    <row r="7" ht="26" spans="1:5">
      <c r="A7" s="139"/>
      <c r="B7" s="158"/>
      <c r="C7" s="158"/>
      <c r="D7" s="139" t="s">
        <v>13</v>
      </c>
      <c r="E7" s="139"/>
    </row>
    <row r="8" ht="26" spans="1:5">
      <c r="A8" s="139"/>
      <c r="B8" s="158"/>
      <c r="C8" s="158"/>
      <c r="D8" s="149" t="s">
        <v>14</v>
      </c>
      <c r="E8" s="139"/>
    </row>
    <row r="9" spans="1:5">
      <c r="A9" s="139"/>
      <c r="B9" s="158"/>
      <c r="C9" s="158"/>
      <c r="D9" s="139" t="s">
        <v>15</v>
      </c>
      <c r="E9" s="139"/>
    </row>
    <row r="10" ht="26" spans="1:5">
      <c r="A10" s="139"/>
      <c r="B10" s="158"/>
      <c r="C10" s="158"/>
      <c r="D10" s="139" t="s">
        <v>16</v>
      </c>
      <c r="E10" s="139"/>
    </row>
    <row r="11" ht="15.75" customHeight="1" spans="1:5">
      <c r="A11" s="139"/>
      <c r="B11" s="158"/>
      <c r="C11" s="158"/>
      <c r="D11" s="139" t="s">
        <v>17</v>
      </c>
      <c r="E11" s="139"/>
    </row>
    <row r="12" ht="39" spans="1:5">
      <c r="A12" s="75"/>
      <c r="B12" s="149"/>
      <c r="C12" s="149"/>
      <c r="D12" s="139" t="s">
        <v>18</v>
      </c>
      <c r="E12" s="75"/>
    </row>
    <row r="13" ht="26" spans="1:5">
      <c r="A13" s="75"/>
      <c r="B13" s="149"/>
      <c r="C13" s="149"/>
      <c r="D13" s="149" t="s">
        <v>19</v>
      </c>
      <c r="E13" s="75"/>
    </row>
    <row r="14" ht="26" spans="1:5">
      <c r="A14" s="75"/>
      <c r="B14" s="149"/>
      <c r="C14" s="149"/>
      <c r="D14" s="75" t="s">
        <v>20</v>
      </c>
      <c r="E14" s="75"/>
    </row>
    <row r="15" ht="26" spans="1:5">
      <c r="A15" s="75"/>
      <c r="B15" s="149"/>
      <c r="C15" s="149"/>
      <c r="D15" s="75" t="s">
        <v>21</v>
      </c>
      <c r="E15" s="75"/>
    </row>
    <row r="16" ht="26" spans="1:5">
      <c r="A16" s="75"/>
      <c r="B16" s="149"/>
      <c r="C16" s="149"/>
      <c r="D16" s="75" t="s">
        <v>22</v>
      </c>
      <c r="E16" s="75"/>
    </row>
    <row r="17" ht="26" spans="1:5">
      <c r="A17" s="75"/>
      <c r="B17" s="149"/>
      <c r="C17" s="149"/>
      <c r="D17" s="75" t="s">
        <v>23</v>
      </c>
      <c r="E17" s="75"/>
    </row>
    <row r="18" spans="1:5">
      <c r="A18" s="75"/>
      <c r="B18" s="149"/>
      <c r="C18" s="149"/>
      <c r="D18" s="75" t="s">
        <v>24</v>
      </c>
      <c r="E18" s="75"/>
    </row>
    <row r="19" spans="1:5">
      <c r="A19" s="75"/>
      <c r="B19" s="159">
        <v>40877</v>
      </c>
      <c r="C19" s="159"/>
      <c r="D19" s="75" t="s">
        <v>25</v>
      </c>
      <c r="E19" s="75" t="s">
        <v>26</v>
      </c>
    </row>
    <row r="20" spans="1:5">
      <c r="A20" s="75"/>
      <c r="B20" s="149"/>
      <c r="C20" s="149"/>
      <c r="D20" s="75" t="s">
        <v>27</v>
      </c>
      <c r="E20" s="75"/>
    </row>
    <row r="21" ht="26" spans="1:5">
      <c r="A21" s="75"/>
      <c r="B21" s="149"/>
      <c r="C21" s="149"/>
      <c r="D21" s="75" t="s">
        <v>28</v>
      </c>
      <c r="E21" s="75"/>
    </row>
    <row r="22" ht="26" spans="1:5">
      <c r="A22" s="75"/>
      <c r="B22" s="149"/>
      <c r="C22" s="149"/>
      <c r="D22" s="75" t="s">
        <v>29</v>
      </c>
      <c r="E22" s="75"/>
    </row>
    <row r="23" ht="40.25" customHeight="1" spans="1:5">
      <c r="A23" s="75"/>
      <c r="B23" s="149"/>
      <c r="C23" s="149"/>
      <c r="D23" s="75" t="s">
        <v>30</v>
      </c>
      <c r="E23" s="75"/>
    </row>
    <row r="24" spans="1:5">
      <c r="A24" s="75"/>
      <c r="B24" s="149"/>
      <c r="C24" s="149"/>
      <c r="D24" s="75" t="s">
        <v>31</v>
      </c>
      <c r="E24" s="75"/>
    </row>
    <row r="25" spans="1:5">
      <c r="A25" s="75"/>
      <c r="B25" s="149"/>
      <c r="C25" s="149"/>
      <c r="D25" s="75" t="s">
        <v>32</v>
      </c>
      <c r="E25" s="75"/>
    </row>
    <row r="26" spans="1:5">
      <c r="A26" s="75"/>
      <c r="B26" s="149"/>
      <c r="C26" s="149"/>
      <c r="D26" s="75" t="s">
        <v>33</v>
      </c>
      <c r="E26" s="75"/>
    </row>
    <row r="27" spans="1:5">
      <c r="A27" s="75"/>
      <c r="B27" s="149"/>
      <c r="C27" s="149"/>
      <c r="D27" s="75" t="s">
        <v>34</v>
      </c>
      <c r="E27" s="75"/>
    </row>
    <row r="28" spans="1:5">
      <c r="A28" s="75"/>
      <c r="B28" s="149"/>
      <c r="C28" s="149"/>
      <c r="D28" s="75" t="s">
        <v>35</v>
      </c>
      <c r="E28" s="75"/>
    </row>
    <row r="29" spans="1:5">
      <c r="A29" s="75"/>
      <c r="B29" s="149"/>
      <c r="C29" s="149"/>
      <c r="D29" s="75" t="s">
        <v>36</v>
      </c>
      <c r="E29" s="75"/>
    </row>
    <row r="30" spans="1:5">
      <c r="A30" s="75"/>
      <c r="B30" s="159">
        <v>40881</v>
      </c>
      <c r="C30" s="159"/>
      <c r="D30" s="75" t="s">
        <v>37</v>
      </c>
      <c r="E30" s="75"/>
    </row>
    <row r="31" spans="1:5">
      <c r="A31" s="75"/>
      <c r="B31" s="159"/>
      <c r="C31" s="159"/>
      <c r="D31" s="75" t="s">
        <v>38</v>
      </c>
      <c r="E31" s="75"/>
    </row>
    <row r="32" ht="78" spans="1:5">
      <c r="A32" s="75"/>
      <c r="B32" s="149"/>
      <c r="C32" s="149"/>
      <c r="D32" s="75" t="s">
        <v>39</v>
      </c>
      <c r="E32" s="75"/>
    </row>
    <row r="33" ht="52" spans="1:5">
      <c r="A33" s="75"/>
      <c r="B33" s="149"/>
      <c r="C33" s="149"/>
      <c r="D33" s="75" t="s">
        <v>40</v>
      </c>
      <c r="E33" s="75"/>
    </row>
    <row r="34" ht="26" spans="1:5">
      <c r="A34" s="75"/>
      <c r="B34" s="159">
        <v>40882</v>
      </c>
      <c r="C34" s="159"/>
      <c r="D34" s="51" t="s">
        <v>41</v>
      </c>
      <c r="E34" s="75" t="s">
        <v>42</v>
      </c>
    </row>
    <row r="35" ht="26" spans="1:5">
      <c r="A35" s="77" t="s">
        <v>43</v>
      </c>
      <c r="B35" s="159">
        <v>40889</v>
      </c>
      <c r="C35" s="159"/>
      <c r="D35" s="75" t="s">
        <v>44</v>
      </c>
      <c r="E35" s="75" t="s">
        <v>9</v>
      </c>
    </row>
    <row r="36" ht="52" spans="1:5">
      <c r="A36" s="77"/>
      <c r="B36" s="149"/>
      <c r="C36" s="149"/>
      <c r="D36" s="75" t="s">
        <v>45</v>
      </c>
      <c r="E36" s="75"/>
    </row>
    <row r="37" ht="26" spans="1:5">
      <c r="A37" s="77"/>
      <c r="B37" s="149"/>
      <c r="C37" s="149"/>
      <c r="D37" s="75" t="s">
        <v>46</v>
      </c>
      <c r="E37" s="75"/>
    </row>
    <row r="38" spans="1:5">
      <c r="A38" s="77"/>
      <c r="B38" s="149"/>
      <c r="C38" s="149"/>
      <c r="D38" s="75" t="s">
        <v>47</v>
      </c>
      <c r="E38" s="75"/>
    </row>
    <row r="39" spans="1:5">
      <c r="A39" s="77"/>
      <c r="B39" s="149"/>
      <c r="C39" s="149"/>
      <c r="D39" s="75" t="s">
        <v>48</v>
      </c>
      <c r="E39" s="75"/>
    </row>
    <row r="40" ht="26" spans="1:5">
      <c r="A40" s="75"/>
      <c r="B40" s="149"/>
      <c r="C40" s="149"/>
      <c r="D40" s="75" t="s">
        <v>49</v>
      </c>
      <c r="E40" s="75"/>
    </row>
    <row r="41" spans="1:5">
      <c r="A41" s="75"/>
      <c r="B41" s="149"/>
      <c r="C41" s="149"/>
      <c r="D41" s="75" t="s">
        <v>50</v>
      </c>
      <c r="E41" s="75"/>
    </row>
    <row r="42" spans="1:5">
      <c r="A42" s="75"/>
      <c r="B42" s="149"/>
      <c r="C42" s="149"/>
      <c r="D42" s="75" t="s">
        <v>51</v>
      </c>
      <c r="E42" s="75"/>
    </row>
    <row r="43" ht="39" spans="1:5">
      <c r="A43" s="75"/>
      <c r="B43" s="159">
        <v>40897</v>
      </c>
      <c r="C43" s="159"/>
      <c r="D43" s="75" t="s">
        <v>52</v>
      </c>
      <c r="E43" s="75"/>
    </row>
    <row r="44" spans="1:5">
      <c r="A44" s="75"/>
      <c r="B44" s="149"/>
      <c r="C44" s="149"/>
      <c r="D44" s="75" t="s">
        <v>53</v>
      </c>
      <c r="E44" s="75"/>
    </row>
    <row r="45" spans="1:5">
      <c r="A45" s="75"/>
      <c r="B45" s="159">
        <v>40898</v>
      </c>
      <c r="C45" s="159"/>
      <c r="D45" s="75" t="s">
        <v>54</v>
      </c>
      <c r="E45" s="75"/>
    </row>
    <row r="46" ht="26" spans="1:5">
      <c r="A46" s="75"/>
      <c r="B46" s="159">
        <v>40899</v>
      </c>
      <c r="C46" s="159"/>
      <c r="D46" s="75" t="s">
        <v>55</v>
      </c>
      <c r="E46" s="75"/>
    </row>
    <row r="47" spans="1:5">
      <c r="A47" s="75"/>
      <c r="B47" s="149"/>
      <c r="C47" s="149"/>
      <c r="D47" s="75" t="s">
        <v>56</v>
      </c>
      <c r="E47" s="75"/>
    </row>
    <row r="48" ht="26" spans="1:5">
      <c r="A48" s="75"/>
      <c r="B48" s="159">
        <v>40903</v>
      </c>
      <c r="C48" s="159"/>
      <c r="D48" s="75" t="s">
        <v>57</v>
      </c>
      <c r="E48" s="75"/>
    </row>
    <row r="49" spans="1:5">
      <c r="A49" s="75"/>
      <c r="B49" s="149"/>
      <c r="C49" s="149"/>
      <c r="D49" s="75" t="s">
        <v>58</v>
      </c>
      <c r="E49" s="75"/>
    </row>
    <row r="50" ht="39" spans="1:5">
      <c r="A50" s="75"/>
      <c r="B50" s="149"/>
      <c r="C50" s="149"/>
      <c r="D50" s="75" t="s">
        <v>59</v>
      </c>
      <c r="E50" s="75"/>
    </row>
    <row r="51" ht="26" spans="1:5">
      <c r="A51" s="75" t="s">
        <v>60</v>
      </c>
      <c r="B51" s="159">
        <v>41326</v>
      </c>
      <c r="C51" s="159"/>
      <c r="D51" s="75" t="s">
        <v>61</v>
      </c>
      <c r="E51" s="75" t="s">
        <v>62</v>
      </c>
    </row>
    <row r="52" ht="26" spans="1:5">
      <c r="A52" s="75"/>
      <c r="B52" s="149"/>
      <c r="C52" s="149"/>
      <c r="D52" s="75" t="s">
        <v>63</v>
      </c>
      <c r="E52" s="75"/>
    </row>
    <row r="53" ht="39" spans="1:5">
      <c r="A53" s="75"/>
      <c r="B53" s="149"/>
      <c r="C53" s="149"/>
      <c r="D53" s="75" t="s">
        <v>64</v>
      </c>
      <c r="E53" s="75"/>
    </row>
    <row r="54" spans="1:5">
      <c r="A54" s="75"/>
      <c r="B54" s="149"/>
      <c r="C54" s="149"/>
      <c r="D54" s="75" t="s">
        <v>65</v>
      </c>
      <c r="E54" s="75"/>
    </row>
    <row r="55" ht="26" spans="1:5">
      <c r="A55" s="75"/>
      <c r="B55" s="149"/>
      <c r="C55" s="149"/>
      <c r="D55" s="75" t="s">
        <v>66</v>
      </c>
      <c r="E55" s="75"/>
    </row>
    <row r="56" spans="1:5">
      <c r="A56" s="75"/>
      <c r="B56" s="149"/>
      <c r="C56" s="149"/>
      <c r="D56" s="75" t="s">
        <v>67</v>
      </c>
      <c r="E56" s="75"/>
    </row>
    <row r="57" ht="26" spans="1:5">
      <c r="A57" s="75"/>
      <c r="B57" s="149"/>
      <c r="C57" s="149"/>
      <c r="D57" s="75" t="s">
        <v>68</v>
      </c>
      <c r="E57" s="75"/>
    </row>
    <row r="58" spans="1:5">
      <c r="A58" s="75"/>
      <c r="B58" s="149"/>
      <c r="C58" s="149"/>
      <c r="D58" s="75" t="s">
        <v>69</v>
      </c>
      <c r="E58" s="75"/>
    </row>
    <row r="59" ht="52" spans="1:5">
      <c r="A59" s="75"/>
      <c r="B59" s="149"/>
      <c r="C59" s="149"/>
      <c r="D59" s="75" t="s">
        <v>70</v>
      </c>
      <c r="E59" s="75"/>
    </row>
    <row r="60" spans="1:5">
      <c r="A60" s="75"/>
      <c r="B60" s="149"/>
      <c r="C60" s="149"/>
      <c r="D60" s="75" t="s">
        <v>71</v>
      </c>
      <c r="E60" s="75"/>
    </row>
    <row r="61" spans="1:5">
      <c r="A61" s="75"/>
      <c r="B61" s="159">
        <v>41333</v>
      </c>
      <c r="C61" s="159"/>
      <c r="D61" s="75" t="s">
        <v>72</v>
      </c>
      <c r="E61" s="75"/>
    </row>
    <row r="62" ht="26" spans="1:5">
      <c r="A62" s="75" t="s">
        <v>73</v>
      </c>
      <c r="B62" s="159">
        <v>41403</v>
      </c>
      <c r="C62" s="159"/>
      <c r="D62" s="75" t="s">
        <v>74</v>
      </c>
      <c r="E62" s="75"/>
    </row>
    <row r="63" spans="1:5">
      <c r="A63" s="75"/>
      <c r="B63" s="149"/>
      <c r="C63" s="149"/>
      <c r="D63" s="75" t="s">
        <v>75</v>
      </c>
      <c r="E63" s="75"/>
    </row>
    <row r="64" spans="1:5">
      <c r="A64" s="75"/>
      <c r="B64" s="149"/>
      <c r="C64" s="149"/>
      <c r="D64" s="75" t="s">
        <v>76</v>
      </c>
      <c r="E64" s="75"/>
    </row>
    <row r="65" ht="26" spans="1:5">
      <c r="A65" s="75"/>
      <c r="B65" s="149"/>
      <c r="C65" s="149"/>
      <c r="D65" s="75" t="s">
        <v>77</v>
      </c>
      <c r="E65" s="75"/>
    </row>
    <row r="66" spans="1:5">
      <c r="A66" s="75"/>
      <c r="B66" s="149"/>
      <c r="C66" s="149"/>
      <c r="D66" s="75" t="s">
        <v>78</v>
      </c>
      <c r="E66" s="75"/>
    </row>
    <row r="67" spans="1:5">
      <c r="A67" s="75"/>
      <c r="B67" s="149"/>
      <c r="C67" s="149"/>
      <c r="D67" s="75" t="s">
        <v>79</v>
      </c>
      <c r="E67" s="75"/>
    </row>
    <row r="68" spans="1:5">
      <c r="A68" s="75"/>
      <c r="B68" s="149"/>
      <c r="C68" s="149"/>
      <c r="D68" s="75" t="s">
        <v>80</v>
      </c>
      <c r="E68" s="75"/>
    </row>
    <row r="69" spans="1:5">
      <c r="A69" s="75"/>
      <c r="B69" s="149"/>
      <c r="C69" s="149"/>
      <c r="D69" s="75" t="s">
        <v>81</v>
      </c>
      <c r="E69" s="75"/>
    </row>
    <row r="70" ht="26" spans="1:5">
      <c r="A70" s="75"/>
      <c r="B70" s="149"/>
      <c r="C70" s="149"/>
      <c r="D70" s="75" t="s">
        <v>82</v>
      </c>
      <c r="E70" s="75"/>
    </row>
    <row r="71" spans="1:5">
      <c r="A71" s="75"/>
      <c r="B71" s="159">
        <v>41421</v>
      </c>
      <c r="C71" s="159"/>
      <c r="D71" s="75" t="s">
        <v>83</v>
      </c>
      <c r="E71" s="75"/>
    </row>
    <row r="72" ht="39" spans="1:5">
      <c r="A72" s="75" t="s">
        <v>84</v>
      </c>
      <c r="B72" s="159">
        <v>41561</v>
      </c>
      <c r="C72" s="159"/>
      <c r="D72" s="75" t="s">
        <v>85</v>
      </c>
      <c r="E72" s="75" t="s">
        <v>86</v>
      </c>
    </row>
    <row r="73" ht="26" spans="1:5">
      <c r="A73" s="75"/>
      <c r="B73" s="149"/>
      <c r="C73" s="149"/>
      <c r="D73" s="75" t="s">
        <v>87</v>
      </c>
      <c r="E73" s="75"/>
    </row>
    <row r="74" ht="52" spans="1:5">
      <c r="A74" s="75"/>
      <c r="B74" s="149"/>
      <c r="C74" s="149"/>
      <c r="D74" s="75" t="s">
        <v>88</v>
      </c>
      <c r="E74" s="75"/>
    </row>
    <row r="75" ht="39" spans="1:5">
      <c r="A75" s="75"/>
      <c r="B75" s="149"/>
      <c r="C75" s="149"/>
      <c r="D75" s="75" t="s">
        <v>89</v>
      </c>
      <c r="E75" s="75"/>
    </row>
    <row r="76" ht="52" spans="1:5">
      <c r="A76" s="75"/>
      <c r="B76" s="149"/>
      <c r="C76" s="149"/>
      <c r="D76" s="75" t="s">
        <v>90</v>
      </c>
      <c r="E76" s="75"/>
    </row>
    <row r="77" ht="78" spans="1:5">
      <c r="A77" s="75"/>
      <c r="B77" s="149"/>
      <c r="C77" s="149"/>
      <c r="D77" s="75" t="s">
        <v>91</v>
      </c>
      <c r="E77" s="75"/>
    </row>
    <row r="78" ht="26" spans="1:5">
      <c r="A78" s="75"/>
      <c r="B78" s="149"/>
      <c r="C78" s="149"/>
      <c r="D78" s="75" t="s">
        <v>92</v>
      </c>
      <c r="E78" s="75"/>
    </row>
    <row r="79" ht="78" spans="1:5">
      <c r="A79" s="75" t="s">
        <v>93</v>
      </c>
      <c r="B79" s="159">
        <v>41628</v>
      </c>
      <c r="C79" s="159"/>
      <c r="D79" s="75" t="s">
        <v>94</v>
      </c>
      <c r="E79" s="75" t="s">
        <v>86</v>
      </c>
    </row>
    <row r="80" ht="26" spans="1:5">
      <c r="A80" s="75"/>
      <c r="B80" s="149"/>
      <c r="C80" s="149"/>
      <c r="D80" s="75" t="s">
        <v>95</v>
      </c>
      <c r="E80" s="75"/>
    </row>
    <row r="81" ht="26" spans="1:5">
      <c r="A81" s="75"/>
      <c r="B81" s="149"/>
      <c r="C81" s="149"/>
      <c r="D81" s="75" t="s">
        <v>96</v>
      </c>
      <c r="E81" s="75"/>
    </row>
    <row r="82" ht="39" spans="1:5">
      <c r="A82" s="75"/>
      <c r="B82" s="149"/>
      <c r="C82" s="149"/>
      <c r="D82" s="75" t="s">
        <v>97</v>
      </c>
      <c r="E82" s="75"/>
    </row>
    <row r="83" ht="26" spans="1:5">
      <c r="A83" s="75" t="s">
        <v>98</v>
      </c>
      <c r="B83" s="159">
        <v>41642</v>
      </c>
      <c r="C83" s="159"/>
      <c r="D83" s="75" t="s">
        <v>99</v>
      </c>
      <c r="E83" s="75" t="s">
        <v>86</v>
      </c>
    </row>
    <row r="84" ht="26" spans="1:5">
      <c r="A84" s="75" t="s">
        <v>100</v>
      </c>
      <c r="B84" s="159">
        <v>41711</v>
      </c>
      <c r="C84" s="159"/>
      <c r="D84" s="75" t="s">
        <v>101</v>
      </c>
      <c r="E84" s="75" t="s">
        <v>86</v>
      </c>
    </row>
    <row r="85" ht="26" spans="1:5">
      <c r="A85" s="75" t="s">
        <v>102</v>
      </c>
      <c r="B85" s="159">
        <v>41746</v>
      </c>
      <c r="C85" s="159"/>
      <c r="D85" s="75" t="s">
        <v>103</v>
      </c>
      <c r="E85" s="75" t="s">
        <v>86</v>
      </c>
    </row>
    <row r="86" spans="1:5">
      <c r="A86" s="75"/>
      <c r="B86" s="149"/>
      <c r="C86" s="149"/>
      <c r="D86" s="75" t="s">
        <v>104</v>
      </c>
      <c r="E86" s="75"/>
    </row>
    <row r="87" spans="1:5">
      <c r="A87" s="75"/>
      <c r="B87" s="149"/>
      <c r="C87" s="149"/>
      <c r="D87" s="75" t="s">
        <v>105</v>
      </c>
      <c r="E87" s="75"/>
    </row>
    <row r="88" ht="39" spans="1:5">
      <c r="A88" s="75"/>
      <c r="B88" s="149"/>
      <c r="C88" s="149"/>
      <c r="D88" s="75" t="s">
        <v>106</v>
      </c>
      <c r="E88" s="75"/>
    </row>
    <row r="89" spans="1:5">
      <c r="A89" s="75"/>
      <c r="B89" s="149"/>
      <c r="C89" s="149"/>
      <c r="D89" s="75" t="s">
        <v>107</v>
      </c>
      <c r="E89" s="75"/>
    </row>
    <row r="90" ht="26" spans="1:5">
      <c r="A90" s="75"/>
      <c r="B90" s="149"/>
      <c r="C90" s="149"/>
      <c r="D90" s="75" t="s">
        <v>108</v>
      </c>
      <c r="E90" s="75"/>
    </row>
    <row r="91" ht="26" spans="1:5">
      <c r="A91" s="75"/>
      <c r="B91" s="149"/>
      <c r="C91" s="149"/>
      <c r="D91" s="75" t="s">
        <v>109</v>
      </c>
      <c r="E91" s="75"/>
    </row>
    <row r="92" ht="26" spans="1:5">
      <c r="A92" s="75"/>
      <c r="B92" s="149"/>
      <c r="C92" s="149"/>
      <c r="D92" s="75" t="s">
        <v>110</v>
      </c>
      <c r="E92" s="75"/>
    </row>
    <row r="93" ht="39" spans="1:5">
      <c r="A93" s="75"/>
      <c r="B93" s="149"/>
      <c r="C93" s="149"/>
      <c r="D93" s="75" t="s">
        <v>111</v>
      </c>
      <c r="E93" s="75"/>
    </row>
    <row r="94" ht="52" spans="1:5">
      <c r="A94" s="75"/>
      <c r="B94" s="149"/>
      <c r="C94" s="149"/>
      <c r="D94" s="75" t="s">
        <v>112</v>
      </c>
      <c r="E94" s="75"/>
    </row>
    <row r="95" ht="39" spans="1:5">
      <c r="A95" s="75"/>
      <c r="B95" s="149"/>
      <c r="C95" s="149"/>
      <c r="D95" s="75" t="s">
        <v>113</v>
      </c>
      <c r="E95" s="75"/>
    </row>
    <row r="96" ht="26" spans="1:5">
      <c r="A96" s="75" t="s">
        <v>114</v>
      </c>
      <c r="B96" s="159">
        <v>41817</v>
      </c>
      <c r="C96" s="159"/>
      <c r="D96" s="75" t="s">
        <v>115</v>
      </c>
      <c r="E96" s="75" t="s">
        <v>86</v>
      </c>
    </row>
    <row r="97" spans="1:5">
      <c r="A97" s="75"/>
      <c r="B97" s="149"/>
      <c r="C97" s="149"/>
      <c r="D97" s="75" t="s">
        <v>116</v>
      </c>
      <c r="E97" s="75"/>
    </row>
    <row r="98" ht="26" spans="1:5">
      <c r="A98" s="75" t="s">
        <v>117</v>
      </c>
      <c r="B98" s="159">
        <v>41900</v>
      </c>
      <c r="C98" s="159"/>
      <c r="D98" s="75" t="s">
        <v>118</v>
      </c>
      <c r="E98" s="75" t="s">
        <v>86</v>
      </c>
    </row>
    <row r="99" ht="39" spans="1:5">
      <c r="A99" s="75"/>
      <c r="B99" s="149"/>
      <c r="C99" s="149"/>
      <c r="D99" s="75" t="s">
        <v>119</v>
      </c>
      <c r="E99" s="75"/>
    </row>
    <row r="100" ht="26" spans="1:5">
      <c r="A100" s="75"/>
      <c r="B100" s="149"/>
      <c r="C100" s="149"/>
      <c r="D100" s="75" t="s">
        <v>120</v>
      </c>
      <c r="E100" s="75"/>
    </row>
    <row r="101" spans="1:5">
      <c r="A101" s="75"/>
      <c r="B101" s="149"/>
      <c r="C101" s="149"/>
      <c r="D101" s="75" t="s">
        <v>121</v>
      </c>
      <c r="E101" s="75"/>
    </row>
    <row r="102" spans="1:5">
      <c r="A102" s="75"/>
      <c r="B102" s="149"/>
      <c r="C102" s="149"/>
      <c r="D102" s="75" t="s">
        <v>122</v>
      </c>
      <c r="E102" s="75"/>
    </row>
    <row r="103" spans="1:5">
      <c r="A103" s="75"/>
      <c r="B103" s="149"/>
      <c r="C103" s="149"/>
      <c r="D103" s="75" t="s">
        <v>123</v>
      </c>
      <c r="E103" s="75"/>
    </row>
    <row r="104" ht="26" spans="1:5">
      <c r="A104" s="75"/>
      <c r="B104" s="149"/>
      <c r="C104" s="149"/>
      <c r="D104" s="75" t="s">
        <v>124</v>
      </c>
      <c r="E104" s="75"/>
    </row>
    <row r="105" spans="1:5">
      <c r="A105" s="75"/>
      <c r="B105" s="149"/>
      <c r="C105" s="149"/>
      <c r="D105" s="75" t="s">
        <v>125</v>
      </c>
      <c r="E105" s="75"/>
    </row>
    <row r="106" ht="26" spans="1:5">
      <c r="A106" s="75"/>
      <c r="B106" s="149"/>
      <c r="C106" s="149"/>
      <c r="D106" s="75" t="s">
        <v>126</v>
      </c>
      <c r="E106" s="75"/>
    </row>
    <row r="107" ht="26" spans="1:5">
      <c r="A107" s="75" t="s">
        <v>127</v>
      </c>
      <c r="B107" s="159">
        <v>42074</v>
      </c>
      <c r="C107" s="159"/>
      <c r="D107" s="75" t="s">
        <v>128</v>
      </c>
      <c r="E107" s="75" t="s">
        <v>86</v>
      </c>
    </row>
    <row r="108" spans="1:5">
      <c r="A108" s="75"/>
      <c r="B108" s="149"/>
      <c r="C108" s="149"/>
      <c r="D108" s="75" t="s">
        <v>129</v>
      </c>
      <c r="E108" s="75"/>
    </row>
    <row r="109" ht="26" spans="1:5">
      <c r="A109" s="75"/>
      <c r="B109" s="149"/>
      <c r="C109" s="149"/>
      <c r="D109" s="75" t="s">
        <v>130</v>
      </c>
      <c r="E109" s="75"/>
    </row>
    <row r="110" spans="1:5">
      <c r="A110" s="75"/>
      <c r="B110" s="149"/>
      <c r="C110" s="149"/>
      <c r="D110" s="75" t="s">
        <v>131</v>
      </c>
      <c r="E110" s="75"/>
    </row>
    <row r="111" spans="1:5">
      <c r="A111" s="75"/>
      <c r="B111" s="149"/>
      <c r="C111" s="149"/>
      <c r="D111" s="75" t="s">
        <v>132</v>
      </c>
      <c r="E111" s="75"/>
    </row>
    <row r="112" spans="1:5">
      <c r="A112" s="75"/>
      <c r="B112" s="149"/>
      <c r="C112" s="149"/>
      <c r="D112" s="75" t="s">
        <v>133</v>
      </c>
      <c r="E112" s="75"/>
    </row>
    <row r="113" ht="26" spans="1:5">
      <c r="A113" s="75"/>
      <c r="B113" s="149"/>
      <c r="C113" s="149"/>
      <c r="D113" s="75" t="s">
        <v>134</v>
      </c>
      <c r="E113" s="75"/>
    </row>
    <row r="114" spans="1:5">
      <c r="A114" s="75"/>
      <c r="B114" s="149"/>
      <c r="C114" s="149"/>
      <c r="D114" s="75" t="s">
        <v>135</v>
      </c>
      <c r="E114" s="75"/>
    </row>
    <row r="115" spans="1:5">
      <c r="A115" s="75"/>
      <c r="B115" s="149"/>
      <c r="C115" s="149"/>
      <c r="D115" s="75" t="s">
        <v>136</v>
      </c>
      <c r="E115" s="75"/>
    </row>
    <row r="116" ht="78" spans="1:5">
      <c r="A116" s="75" t="s">
        <v>137</v>
      </c>
      <c r="B116" s="159">
        <v>42151</v>
      </c>
      <c r="C116" s="159"/>
      <c r="D116" s="75" t="s">
        <v>138</v>
      </c>
      <c r="E116" s="75" t="s">
        <v>86</v>
      </c>
    </row>
    <row r="117" ht="52" spans="1:5">
      <c r="A117" s="75"/>
      <c r="B117" s="149"/>
      <c r="C117" s="149"/>
      <c r="D117" s="75" t="s">
        <v>139</v>
      </c>
      <c r="E117" s="75"/>
    </row>
    <row r="118" ht="26" spans="1:5">
      <c r="A118" s="75"/>
      <c r="B118" s="149"/>
      <c r="C118" s="149"/>
      <c r="D118" s="75" t="s">
        <v>140</v>
      </c>
      <c r="E118" s="75"/>
    </row>
    <row r="119" ht="39" spans="1:5">
      <c r="A119" s="75"/>
      <c r="B119" s="149"/>
      <c r="C119" s="149"/>
      <c r="D119" s="75" t="s">
        <v>141</v>
      </c>
      <c r="E119" s="75"/>
    </row>
    <row r="120" ht="26" spans="1:5">
      <c r="A120" s="75"/>
      <c r="B120" s="149"/>
      <c r="C120" s="149"/>
      <c r="D120" s="75" t="s">
        <v>142</v>
      </c>
      <c r="E120" s="75"/>
    </row>
    <row r="121" spans="1:5">
      <c r="A121" s="75"/>
      <c r="B121" s="149"/>
      <c r="C121" s="149"/>
      <c r="D121" s="75" t="s">
        <v>143</v>
      </c>
      <c r="E121" s="75"/>
    </row>
    <row r="122" spans="1:5">
      <c r="A122" s="75" t="s">
        <v>144</v>
      </c>
      <c r="B122" s="159">
        <v>42305</v>
      </c>
      <c r="C122" s="159"/>
      <c r="D122" s="75" t="s">
        <v>145</v>
      </c>
      <c r="E122" s="75" t="s">
        <v>86</v>
      </c>
    </row>
    <row r="123" ht="39" spans="1:5">
      <c r="A123" s="75"/>
      <c r="B123" s="149"/>
      <c r="C123" s="149"/>
      <c r="D123" s="75" t="s">
        <v>146</v>
      </c>
      <c r="E123" s="75"/>
    </row>
    <row r="124" ht="39" spans="1:5">
      <c r="A124" s="75"/>
      <c r="B124" s="149"/>
      <c r="C124" s="149"/>
      <c r="D124" s="75" t="s">
        <v>147</v>
      </c>
      <c r="E124" s="75"/>
    </row>
    <row r="125" ht="26" spans="1:5">
      <c r="A125" s="75"/>
      <c r="B125" s="149"/>
      <c r="C125" s="149"/>
      <c r="D125" s="75" t="s">
        <v>148</v>
      </c>
      <c r="E125" s="75"/>
    </row>
    <row r="126" ht="26" spans="1:5">
      <c r="A126" s="75"/>
      <c r="B126" s="149"/>
      <c r="C126" s="149"/>
      <c r="D126" s="75" t="s">
        <v>149</v>
      </c>
      <c r="E126" s="75"/>
    </row>
    <row r="127" ht="26" spans="1:5">
      <c r="A127" s="75"/>
      <c r="B127" s="149"/>
      <c r="C127" s="149"/>
      <c r="D127" s="75" t="s">
        <v>150</v>
      </c>
      <c r="E127" s="75"/>
    </row>
    <row r="128" ht="26" spans="1:5">
      <c r="A128" s="75"/>
      <c r="B128" s="149"/>
      <c r="C128" s="149"/>
      <c r="D128" s="75" t="s">
        <v>151</v>
      </c>
      <c r="E128" s="75"/>
    </row>
    <row r="129" ht="26" spans="1:5">
      <c r="A129" s="75"/>
      <c r="B129" s="149"/>
      <c r="C129" s="149"/>
      <c r="D129" s="75" t="s">
        <v>152</v>
      </c>
      <c r="E129" s="75"/>
    </row>
    <row r="130" ht="26" spans="1:5">
      <c r="A130" s="75"/>
      <c r="B130" s="149"/>
      <c r="C130" s="149"/>
      <c r="D130" s="75" t="s">
        <v>153</v>
      </c>
      <c r="E130" s="75"/>
    </row>
    <row r="131" s="151" customFormat="1" spans="1:5">
      <c r="A131" s="160"/>
      <c r="B131" s="160"/>
      <c r="C131" s="160"/>
      <c r="D131" s="161" t="s">
        <v>154</v>
      </c>
      <c r="E131" s="161"/>
    </row>
    <row r="132" spans="1:5">
      <c r="A132" s="75" t="s">
        <v>155</v>
      </c>
      <c r="B132" s="159">
        <v>42508</v>
      </c>
      <c r="C132" s="159"/>
      <c r="D132" s="75" t="s">
        <v>156</v>
      </c>
      <c r="E132" s="75" t="s">
        <v>86</v>
      </c>
    </row>
    <row r="133" ht="26" spans="1:5">
      <c r="A133" s="75"/>
      <c r="B133" s="149"/>
      <c r="C133" s="149"/>
      <c r="D133" s="75" t="s">
        <v>157</v>
      </c>
      <c r="E133" s="75"/>
    </row>
    <row r="134" ht="26" spans="1:5">
      <c r="A134" s="75"/>
      <c r="B134" s="149"/>
      <c r="C134" s="149"/>
      <c r="D134" s="75" t="s">
        <v>158</v>
      </c>
      <c r="E134" s="75"/>
    </row>
    <row r="135" spans="1:5">
      <c r="A135" s="75"/>
      <c r="B135" s="149"/>
      <c r="C135" s="149"/>
      <c r="D135" s="75" t="s">
        <v>159</v>
      </c>
      <c r="E135" s="75"/>
    </row>
    <row r="136" ht="26" spans="1:5">
      <c r="A136" s="75"/>
      <c r="B136" s="149"/>
      <c r="C136" s="149"/>
      <c r="D136" s="75" t="s">
        <v>160</v>
      </c>
      <c r="E136" s="75"/>
    </row>
    <row r="137" ht="117" spans="1:5">
      <c r="A137" s="75"/>
      <c r="B137" s="149"/>
      <c r="C137" s="149"/>
      <c r="D137" s="75" t="s">
        <v>161</v>
      </c>
      <c r="E137" s="75"/>
    </row>
    <row r="138" spans="1:5">
      <c r="A138" s="75"/>
      <c r="B138" s="149"/>
      <c r="C138" s="149"/>
      <c r="D138" s="75" t="s">
        <v>162</v>
      </c>
      <c r="E138" s="75"/>
    </row>
    <row r="139" spans="1:5">
      <c r="A139" s="75"/>
      <c r="B139" s="149"/>
      <c r="C139" s="149"/>
      <c r="D139" s="75" t="s">
        <v>163</v>
      </c>
      <c r="E139" s="75"/>
    </row>
    <row r="140" spans="1:5">
      <c r="A140" s="75"/>
      <c r="B140" s="149"/>
      <c r="C140" s="149"/>
      <c r="D140" s="75" t="s">
        <v>164</v>
      </c>
      <c r="E140" s="75"/>
    </row>
    <row r="141" ht="26" spans="1:5">
      <c r="A141" s="75"/>
      <c r="B141" s="149"/>
      <c r="C141" s="149"/>
      <c r="D141" s="75" t="s">
        <v>165</v>
      </c>
      <c r="E141" s="75"/>
    </row>
    <row r="142" ht="143" spans="1:5">
      <c r="A142" s="75"/>
      <c r="B142" s="159">
        <v>42584</v>
      </c>
      <c r="C142" s="159"/>
      <c r="D142" s="75" t="s">
        <v>166</v>
      </c>
      <c r="E142" s="75" t="s">
        <v>86</v>
      </c>
    </row>
    <row r="143" ht="65" spans="1:5">
      <c r="A143" s="75"/>
      <c r="B143" s="159"/>
      <c r="C143" s="159"/>
      <c r="D143" s="75" t="s">
        <v>167</v>
      </c>
      <c r="E143" s="75"/>
    </row>
    <row r="144" spans="1:5">
      <c r="A144" s="75"/>
      <c r="B144" s="159"/>
      <c r="C144" s="159"/>
      <c r="D144" s="75" t="s">
        <v>168</v>
      </c>
      <c r="E144" s="75"/>
    </row>
    <row r="145" spans="1:5">
      <c r="A145" s="75"/>
      <c r="B145" s="159"/>
      <c r="C145" s="159"/>
      <c r="D145" s="75" t="s">
        <v>169</v>
      </c>
      <c r="E145" s="75"/>
    </row>
    <row r="146" s="151" customFormat="1" ht="26" spans="1:5">
      <c r="A146" s="160" t="s">
        <v>170</v>
      </c>
      <c r="B146" s="162">
        <v>42691</v>
      </c>
      <c r="C146" s="162"/>
      <c r="D146" s="161" t="s">
        <v>171</v>
      </c>
      <c r="E146" s="75" t="s">
        <v>86</v>
      </c>
    </row>
    <row r="147" s="151" customFormat="1" ht="52" spans="1:5">
      <c r="A147" s="163" t="s">
        <v>172</v>
      </c>
      <c r="B147" s="162">
        <v>42691</v>
      </c>
      <c r="C147" s="162"/>
      <c r="D147" s="161" t="s">
        <v>173</v>
      </c>
      <c r="E147" s="75" t="s">
        <v>86</v>
      </c>
    </row>
    <row r="148" s="151" customFormat="1" ht="26" spans="1:5">
      <c r="A148" s="163"/>
      <c r="B148" s="162"/>
      <c r="C148" s="162"/>
      <c r="D148" s="161" t="s">
        <v>174</v>
      </c>
      <c r="E148" s="161"/>
    </row>
    <row r="149" s="151" customFormat="1" ht="91" spans="1:5">
      <c r="A149" s="163"/>
      <c r="B149" s="164">
        <v>42809</v>
      </c>
      <c r="C149" s="164"/>
      <c r="D149" s="161" t="s">
        <v>175</v>
      </c>
      <c r="E149" s="75" t="s">
        <v>86</v>
      </c>
    </row>
    <row r="150" ht="104" spans="1:5">
      <c r="A150" s="75"/>
      <c r="B150" s="159"/>
      <c r="C150" s="159"/>
      <c r="D150" s="75" t="s">
        <v>176</v>
      </c>
      <c r="E150" s="75"/>
    </row>
    <row r="151" spans="1:5">
      <c r="A151" s="75"/>
      <c r="B151" s="159"/>
      <c r="C151" s="159"/>
      <c r="D151" s="75" t="s">
        <v>177</v>
      </c>
      <c r="E151" s="75"/>
    </row>
    <row r="152" ht="78" spans="1:5">
      <c r="A152" s="75"/>
      <c r="B152" s="159"/>
      <c r="C152" s="159"/>
      <c r="D152" s="75" t="s">
        <v>178</v>
      </c>
      <c r="E152" s="75"/>
    </row>
    <row r="153" ht="26" spans="1:5">
      <c r="A153" s="75"/>
      <c r="B153" s="159"/>
      <c r="C153" s="159"/>
      <c r="D153" s="75" t="s">
        <v>179</v>
      </c>
      <c r="E153" s="75"/>
    </row>
    <row r="154" ht="26" spans="1:5">
      <c r="A154" s="160" t="s">
        <v>180</v>
      </c>
      <c r="B154" s="162">
        <v>43026</v>
      </c>
      <c r="C154" s="162"/>
      <c r="D154" s="165" t="s">
        <v>181</v>
      </c>
      <c r="E154" s="75" t="s">
        <v>86</v>
      </c>
    </row>
    <row r="155" spans="1:5">
      <c r="A155" s="75"/>
      <c r="B155" s="149"/>
      <c r="C155" s="149"/>
      <c r="D155" s="75" t="s">
        <v>182</v>
      </c>
      <c r="E155" s="75"/>
    </row>
    <row r="156" spans="1:5">
      <c r="A156" s="75"/>
      <c r="B156" s="149"/>
      <c r="C156" s="149"/>
      <c r="D156" s="75" t="s">
        <v>183</v>
      </c>
      <c r="E156" s="75"/>
    </row>
    <row r="157" spans="1:5">
      <c r="A157" s="75"/>
      <c r="B157" s="149"/>
      <c r="C157" s="149"/>
      <c r="D157" s="75" t="s">
        <v>184</v>
      </c>
      <c r="E157" s="75"/>
    </row>
    <row r="158" ht="52" spans="1:5">
      <c r="A158" s="75"/>
      <c r="B158" s="159">
        <v>43052</v>
      </c>
      <c r="C158" s="159"/>
      <c r="D158" s="75" t="s">
        <v>185</v>
      </c>
      <c r="E158" s="75"/>
    </row>
    <row r="159" ht="26" spans="1:5">
      <c r="A159" s="75" t="s">
        <v>186</v>
      </c>
      <c r="B159" s="159">
        <v>43172</v>
      </c>
      <c r="C159" s="166" t="s">
        <v>187</v>
      </c>
      <c r="D159" s="75" t="s">
        <v>188</v>
      </c>
      <c r="E159" s="75" t="s">
        <v>86</v>
      </c>
    </row>
    <row r="160" ht="53" customHeight="1" spans="1:5">
      <c r="A160" s="75"/>
      <c r="B160" s="159"/>
      <c r="C160" s="166" t="s">
        <v>187</v>
      </c>
      <c r="D160" s="75" t="s">
        <v>189</v>
      </c>
      <c r="E160" s="75"/>
    </row>
    <row r="161" ht="52" spans="1:5">
      <c r="A161" s="75" t="s">
        <v>190</v>
      </c>
      <c r="B161" s="159">
        <v>43350</v>
      </c>
      <c r="C161" s="167" t="s">
        <v>191</v>
      </c>
      <c r="D161" s="75" t="s">
        <v>192</v>
      </c>
      <c r="E161" s="75" t="s">
        <v>193</v>
      </c>
    </row>
    <row r="162" ht="132" customHeight="1" spans="1:5">
      <c r="A162" s="75" t="s">
        <v>194</v>
      </c>
      <c r="B162" s="159">
        <v>43592</v>
      </c>
      <c r="C162" s="149" t="s">
        <v>195</v>
      </c>
      <c r="D162" s="75" t="s">
        <v>196</v>
      </c>
      <c r="E162" s="75" t="s">
        <v>197</v>
      </c>
    </row>
    <row r="163" ht="182" spans="1:5">
      <c r="A163" s="75" t="s">
        <v>198</v>
      </c>
      <c r="B163" s="168" t="s">
        <v>199</v>
      </c>
      <c r="C163" s="149" t="s">
        <v>200</v>
      </c>
      <c r="D163" s="75" t="s">
        <v>201</v>
      </c>
      <c r="E163" s="75" t="s">
        <v>202</v>
      </c>
    </row>
    <row r="164" ht="409.05" customHeight="1" spans="1:5">
      <c r="A164" s="141" t="s">
        <v>203</v>
      </c>
      <c r="B164" s="169">
        <v>44166</v>
      </c>
      <c r="C164" s="141" t="s">
        <v>204</v>
      </c>
      <c r="D164" s="170" t="s">
        <v>205</v>
      </c>
      <c r="E164" s="75" t="s">
        <v>202</v>
      </c>
    </row>
    <row r="165" ht="26" spans="1:5">
      <c r="A165" s="141" t="s">
        <v>206</v>
      </c>
      <c r="B165" s="159">
        <v>44369</v>
      </c>
      <c r="C165" s="149" t="s">
        <v>207</v>
      </c>
      <c r="D165" s="75" t="s">
        <v>208</v>
      </c>
      <c r="E165" s="75" t="s">
        <v>209</v>
      </c>
    </row>
    <row r="166" ht="39" spans="1:5">
      <c r="A166" s="141" t="s">
        <v>210</v>
      </c>
      <c r="B166" s="159">
        <v>44546</v>
      </c>
      <c r="C166" s="149" t="s">
        <v>211</v>
      </c>
      <c r="D166" s="75" t="s">
        <v>212</v>
      </c>
      <c r="E166" s="75" t="s">
        <v>209</v>
      </c>
    </row>
    <row r="167" ht="54" customHeight="1" spans="1:5">
      <c r="A167" s="75" t="s">
        <v>213</v>
      </c>
      <c r="B167" s="149"/>
      <c r="C167" s="149"/>
      <c r="D167" s="75" t="s">
        <v>214</v>
      </c>
      <c r="E167" s="171" t="s">
        <v>215</v>
      </c>
    </row>
    <row r="168" ht="64.05" customHeight="1" spans="1:5">
      <c r="A168" s="75" t="s">
        <v>216</v>
      </c>
      <c r="B168" s="159">
        <v>44913</v>
      </c>
      <c r="C168" s="149" t="s">
        <v>217</v>
      </c>
      <c r="D168" s="75" t="s">
        <v>218</v>
      </c>
      <c r="E168" s="171" t="s">
        <v>215</v>
      </c>
    </row>
    <row r="169" ht="102" customHeight="1" spans="1:5">
      <c r="A169" s="75" t="s">
        <v>219</v>
      </c>
      <c r="B169" s="159">
        <v>45097</v>
      </c>
      <c r="C169" s="149" t="s">
        <v>220</v>
      </c>
      <c r="D169" s="75" t="s">
        <v>221</v>
      </c>
      <c r="E169" s="171" t="s">
        <v>215</v>
      </c>
    </row>
    <row r="170" ht="30" customHeight="1" spans="1:5">
      <c r="A170" s="77" t="s">
        <v>222</v>
      </c>
      <c r="B170" s="159">
        <v>45260</v>
      </c>
      <c r="C170" s="77" t="s">
        <v>223</v>
      </c>
      <c r="D170" s="75" t="s">
        <v>224</v>
      </c>
      <c r="E170" s="172" t="s">
        <v>225</v>
      </c>
    </row>
    <row r="171" ht="22.05" customHeight="1" spans="1:5">
      <c r="A171" s="49"/>
      <c r="B171" s="173">
        <v>45300</v>
      </c>
      <c r="C171" s="49"/>
      <c r="D171" s="174" t="s">
        <v>226</v>
      </c>
      <c r="E171" s="175"/>
    </row>
    <row r="172" s="149" customFormat="1" spans="1:5">
      <c r="A172" s="176" t="s">
        <v>227</v>
      </c>
      <c r="B172" s="177">
        <v>45442</v>
      </c>
      <c r="C172" s="178" t="s">
        <v>228</v>
      </c>
      <c r="D172" s="176" t="s">
        <v>229</v>
      </c>
      <c r="E172" s="176" t="s">
        <v>225</v>
      </c>
    </row>
    <row r="173" s="75" customFormat="1" ht="78" spans="1:5">
      <c r="A173" s="179" t="s">
        <v>230</v>
      </c>
      <c r="B173" s="177">
        <v>45463</v>
      </c>
      <c r="C173" s="176" t="s">
        <v>231</v>
      </c>
      <c r="D173" s="179" t="s">
        <v>232</v>
      </c>
      <c r="E173" s="176" t="s">
        <v>225</v>
      </c>
    </row>
    <row r="174" s="75" customFormat="1" spans="2:3">
      <c r="B174" s="149"/>
      <c r="C174" s="149"/>
    </row>
    <row r="175" s="75" customFormat="1" spans="2:3">
      <c r="B175" s="149"/>
      <c r="C175" s="149"/>
    </row>
    <row r="176" s="75" customFormat="1" spans="2:3">
      <c r="B176" s="149"/>
      <c r="C176" s="149"/>
    </row>
    <row r="177" s="75" customFormat="1" spans="2:3">
      <c r="B177" s="149"/>
      <c r="C177" s="149"/>
    </row>
    <row r="178" s="75" customFormat="1" spans="2:3">
      <c r="B178" s="149"/>
      <c r="C178" s="149"/>
    </row>
    <row r="179" s="75" customFormat="1" spans="2:3">
      <c r="B179" s="149"/>
      <c r="C179" s="149"/>
    </row>
    <row r="180" s="75" customFormat="1" spans="2:3">
      <c r="B180" s="149"/>
      <c r="C180" s="149"/>
    </row>
  </sheetData>
  <mergeCells count="3">
    <mergeCell ref="A170:A171"/>
    <mergeCell ref="C170:C171"/>
    <mergeCell ref="E170:E171"/>
  </mergeCells>
  <pageMargins left="0.75" right="0.75" top="1" bottom="1" header="0.5" footer="0.5"/>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M47"/>
  <sheetViews>
    <sheetView topLeftCell="A12" workbookViewId="0">
      <selection activeCell="H18" sqref="H18"/>
    </sheetView>
  </sheetViews>
  <sheetFormatPr defaultColWidth="9" defaultRowHeight="13"/>
  <cols>
    <col min="1" max="1" width="8.43" style="136" customWidth="1"/>
    <col min="2" max="2" width="32.64" style="136" customWidth="1"/>
    <col min="3" max="3" width="5.36" style="136" customWidth="1"/>
    <col min="4" max="6" width="10" style="136" customWidth="1"/>
    <col min="7" max="9" width="11.14" style="136" customWidth="1"/>
    <col min="10" max="10" width="8.36" style="136" customWidth="1"/>
    <col min="11" max="12" width="10" style="136" customWidth="1"/>
    <col min="13" max="13" width="7.14" style="136" customWidth="1"/>
    <col min="14" max="16384" width="9" style="136"/>
  </cols>
  <sheetData>
    <row r="1" s="135" customFormat="1" spans="1:13">
      <c r="A1" s="137" t="s">
        <v>233</v>
      </c>
      <c r="B1" s="138" t="s">
        <v>234</v>
      </c>
      <c r="C1" s="138" t="s">
        <v>235</v>
      </c>
      <c r="D1" s="137" t="s">
        <v>236</v>
      </c>
      <c r="E1" s="137" t="s">
        <v>237</v>
      </c>
      <c r="F1" s="137" t="s">
        <v>238</v>
      </c>
      <c r="G1" s="137" t="s">
        <v>239</v>
      </c>
      <c r="H1" s="137" t="s">
        <v>240</v>
      </c>
      <c r="I1" s="137" t="s">
        <v>241</v>
      </c>
      <c r="J1" s="137" t="s">
        <v>242</v>
      </c>
      <c r="K1" s="137" t="s">
        <v>243</v>
      </c>
      <c r="L1" s="137" t="s">
        <v>244</v>
      </c>
      <c r="M1" s="137" t="s">
        <v>245</v>
      </c>
    </row>
    <row r="2" spans="1:13">
      <c r="A2" s="73" t="s">
        <v>246</v>
      </c>
      <c r="B2" s="139" t="s">
        <v>247</v>
      </c>
      <c r="C2" s="73"/>
      <c r="D2" s="73">
        <f>COUNTIF(HA!$B:$B,"A")</f>
        <v>3</v>
      </c>
      <c r="E2" s="73">
        <f>COUNTIF(HA!$B:$B,"B")</f>
        <v>14</v>
      </c>
      <c r="F2" s="73">
        <f>COUNTIF(HA!$B:$B,"C")</f>
        <v>5</v>
      </c>
      <c r="G2" s="73">
        <f>COUNTIF(HA!$B:$B,"CA")</f>
        <v>6</v>
      </c>
      <c r="H2" s="73">
        <f>COUNTIF(HA!$B:$B,"CB")</f>
        <v>14</v>
      </c>
      <c r="I2" s="73">
        <f>COUNTIF(HA!$B:$B,"CC")</f>
        <v>0</v>
      </c>
      <c r="J2" s="73">
        <f t="shared" ref="J2:J23" si="0">SUM($D2:$H2)</f>
        <v>42</v>
      </c>
      <c r="K2" s="141">
        <f>SUMPRODUCT((HA!$B$2:$B$41="A")*(HA!$M$2:$M$41="是"))</f>
        <v>0</v>
      </c>
      <c r="L2" s="141">
        <f>SUMPRODUCT((HA!$B$2:$B$41="B")*(HA!$M$2:$M$41="是"))</f>
        <v>0</v>
      </c>
      <c r="M2" s="73">
        <f>SUM(K2:L2)</f>
        <v>0</v>
      </c>
    </row>
    <row r="3" spans="1:13">
      <c r="A3" s="73" t="s">
        <v>248</v>
      </c>
      <c r="B3" s="139" t="s">
        <v>249</v>
      </c>
      <c r="C3" s="73"/>
      <c r="D3" s="73">
        <f>COUNTIF(HB!$B:$B,"A")</f>
        <v>8</v>
      </c>
      <c r="E3" s="73">
        <f>COUNTIF(HB!$B:$B,"B")</f>
        <v>36</v>
      </c>
      <c r="F3" s="73">
        <f>COUNTIF(HB!$B:$B,"C")</f>
        <v>10</v>
      </c>
      <c r="G3" s="73">
        <f>COUNTIF(HB!$B:$B,"CA")</f>
        <v>0</v>
      </c>
      <c r="H3" s="73">
        <f>COUNTIF(HB!$B:$B,"CB")</f>
        <v>12</v>
      </c>
      <c r="I3" s="73">
        <f>COUNTIF(HB!$B:$B,"CC")</f>
        <v>0</v>
      </c>
      <c r="J3" s="73">
        <f t="shared" si="0"/>
        <v>66</v>
      </c>
      <c r="K3" s="141">
        <f>SUMPRODUCT((HB!$B$2:$B$67="A")*(HB!$M$2:$M$67="是"))</f>
        <v>6</v>
      </c>
      <c r="L3" s="141">
        <f>SUMPRODUCT((HB!$B$2:$B$67="B")*(HB!$M$2:$M$67="是"))</f>
        <v>6</v>
      </c>
      <c r="M3" s="73">
        <f t="shared" ref="M3:M15" si="1">SUM(K3:L3)</f>
        <v>12</v>
      </c>
    </row>
    <row r="4" spans="1:13">
      <c r="A4" s="73" t="s">
        <v>250</v>
      </c>
      <c r="B4" s="139" t="s">
        <v>251</v>
      </c>
      <c r="C4" s="73"/>
      <c r="D4" s="73">
        <f>COUNTIF(HC!$B:$B,"A")</f>
        <v>5</v>
      </c>
      <c r="E4" s="73">
        <f>COUNTIF(HC!$B:$B,"B")</f>
        <v>10</v>
      </c>
      <c r="F4" s="73">
        <f>COUNTIF(HC!$B:$B,"C")</f>
        <v>3</v>
      </c>
      <c r="G4" s="73">
        <f>COUNTIF(HC!$B:$B,"CA")</f>
        <v>0</v>
      </c>
      <c r="H4" s="73">
        <f>COUNTIF(HC!$B:$B,"CB")</f>
        <v>0</v>
      </c>
      <c r="I4" s="73">
        <f>COUNTIF(HC!$B:$B,"CC")</f>
        <v>0</v>
      </c>
      <c r="J4" s="73">
        <f t="shared" si="0"/>
        <v>18</v>
      </c>
      <c r="K4" s="141">
        <f>SUMPRODUCT((HC!$B$2:$B$19="A")*(HC!$M$2:$M$19="是"))</f>
        <v>2</v>
      </c>
      <c r="L4" s="141">
        <f>SUMPRODUCT((HC!$B$2:$B$19="B")*(HC!$M$2:$M$19="是"))</f>
        <v>1</v>
      </c>
      <c r="M4" s="73">
        <f t="shared" si="1"/>
        <v>3</v>
      </c>
    </row>
    <row r="5" spans="1:13">
      <c r="A5" s="73" t="s">
        <v>252</v>
      </c>
      <c r="B5" s="139" t="s">
        <v>253</v>
      </c>
      <c r="C5" s="73"/>
      <c r="D5" s="73">
        <f>COUNTIF(HD!$B:$B,"A")</f>
        <v>18</v>
      </c>
      <c r="E5" s="73">
        <f>COUNTIF(HD!$B:$B,"B")</f>
        <v>28</v>
      </c>
      <c r="F5" s="73">
        <f>COUNTIF(HD!$B:$B,"C")</f>
        <v>3</v>
      </c>
      <c r="G5" s="73">
        <f>COUNTIF(HD!$B:$B,"CA")</f>
        <v>2</v>
      </c>
      <c r="H5" s="73">
        <f>COUNTIF(HD!$B:$B,"CB")</f>
        <v>13</v>
      </c>
      <c r="I5" s="73">
        <f>COUNTIF(HD!$B:$B,"CC")</f>
        <v>0</v>
      </c>
      <c r="J5" s="73">
        <f t="shared" si="0"/>
        <v>64</v>
      </c>
      <c r="K5" s="141">
        <f>SUMPRODUCT((HD!$B$2:$B$65="A")*(HD!$M$2:$M$65="是"))</f>
        <v>7</v>
      </c>
      <c r="L5" s="141">
        <f>SUMPRODUCT((HD!$B$2:$B$65="B")*(HD!$M$2:$M$65="是"))</f>
        <v>11</v>
      </c>
      <c r="M5" s="73">
        <f t="shared" si="1"/>
        <v>18</v>
      </c>
    </row>
    <row r="6" spans="1:13">
      <c r="A6" s="73" t="s">
        <v>254</v>
      </c>
      <c r="B6" s="139" t="s">
        <v>255</v>
      </c>
      <c r="C6" s="73"/>
      <c r="D6" s="73">
        <f>COUNTIF(HE!$B:$B,"A")</f>
        <v>4</v>
      </c>
      <c r="E6" s="73">
        <f>COUNTIF(HE!$B:$B,"B")</f>
        <v>0</v>
      </c>
      <c r="F6" s="73">
        <f>COUNTIF(HE!$B:$B,"C")</f>
        <v>20</v>
      </c>
      <c r="G6" s="73">
        <f>COUNTIF(HE!$B:$B,"CA")</f>
        <v>0</v>
      </c>
      <c r="H6" s="73">
        <f>COUNTIF(HE!$B:$B,"CB")</f>
        <v>0</v>
      </c>
      <c r="I6" s="73">
        <f>COUNTIF(HE!$B:$B,"CC")</f>
        <v>11</v>
      </c>
      <c r="J6" s="73">
        <f t="shared" si="0"/>
        <v>24</v>
      </c>
      <c r="K6" s="141">
        <f>SUMPRODUCT((HE!$B$2:$B$24="A")*(HE!$M$2:$M$24="是"))</f>
        <v>0</v>
      </c>
      <c r="L6" s="141">
        <f>SUMPRODUCT((HE!$B$2:$B$24="B")*(HE!$M$2:$M$24="是"))</f>
        <v>0</v>
      </c>
      <c r="M6" s="73">
        <f t="shared" si="1"/>
        <v>0</v>
      </c>
    </row>
    <row r="7" ht="26" spans="1:13">
      <c r="A7" s="73" t="s">
        <v>256</v>
      </c>
      <c r="B7" s="139" t="s">
        <v>257</v>
      </c>
      <c r="C7" s="73"/>
      <c r="D7" s="73">
        <f>COUNTIF(HF!$B:$B,"A")</f>
        <v>0</v>
      </c>
      <c r="E7" s="73">
        <f>COUNTIF(HF!$B:$B,"B")</f>
        <v>11</v>
      </c>
      <c r="F7" s="73">
        <f>COUNTIF(HF!$B:$B,"C")</f>
        <v>4</v>
      </c>
      <c r="G7" s="73">
        <f>COUNTIF(HF!$B:$B,"CA")</f>
        <v>0</v>
      </c>
      <c r="H7" s="73">
        <f>COUNTIF(HF!$B:$B,"CB")</f>
        <v>0</v>
      </c>
      <c r="I7" s="73">
        <f>COUNTIF(HF!$B:$B,"CC")</f>
        <v>0</v>
      </c>
      <c r="J7" s="73">
        <f t="shared" si="0"/>
        <v>15</v>
      </c>
      <c r="K7" s="141">
        <f>SUMPRODUCT((HF!$B$2:$B$16="A")*(HF!$M$2:$M$16="是"))</f>
        <v>0</v>
      </c>
      <c r="L7" s="141">
        <f>SUMPRODUCT((HF!$B$2:$B$16="B")*(HF!$M$2:$M$16="是"))</f>
        <v>2</v>
      </c>
      <c r="M7" s="73">
        <f t="shared" si="1"/>
        <v>2</v>
      </c>
    </row>
    <row r="8" spans="1:13">
      <c r="A8" s="73" t="s">
        <v>258</v>
      </c>
      <c r="B8" s="139" t="s">
        <v>259</v>
      </c>
      <c r="C8" s="73"/>
      <c r="D8" s="73">
        <f>COUNTIF(HG!$B:$B,"A")</f>
        <v>1</v>
      </c>
      <c r="E8" s="73">
        <f>COUNTIF(HG!$B:$B,"B")</f>
        <v>0</v>
      </c>
      <c r="F8" s="73">
        <f>COUNTIF(HG!$B:$B,"C")</f>
        <v>0</v>
      </c>
      <c r="G8" s="73">
        <f>COUNTIF(HG!$B:$B,"CA")</f>
        <v>1</v>
      </c>
      <c r="H8" s="73">
        <f>COUNTIF(HG!$B:$B,"CB")</f>
        <v>0</v>
      </c>
      <c r="I8" s="73">
        <f>COUNTIF(HG!$B:$B,"CC")</f>
        <v>0</v>
      </c>
      <c r="J8" s="73">
        <f t="shared" si="0"/>
        <v>2</v>
      </c>
      <c r="K8" s="141">
        <f>SUMPRODUCT((HG!$B$2:$B$3="A")*(HG!$M$2:$M$3="是"))</f>
        <v>0</v>
      </c>
      <c r="L8" s="141">
        <f>SUMPRODUCT((HG!$B$2:$B$3="B")*(HG!$M$2:$M$3="是"))</f>
        <v>0</v>
      </c>
      <c r="M8" s="73">
        <f t="shared" si="1"/>
        <v>0</v>
      </c>
    </row>
    <row r="9" spans="1:13">
      <c r="A9" s="73" t="s">
        <v>260</v>
      </c>
      <c r="B9" s="140" t="s">
        <v>261</v>
      </c>
      <c r="C9" s="73"/>
      <c r="D9" s="73">
        <f>COUNTIF(HH!$B:$B,"A")</f>
        <v>5</v>
      </c>
      <c r="E9" s="73">
        <f>COUNTIF(HH!$B:$B,"B")</f>
        <v>19</v>
      </c>
      <c r="F9" s="73">
        <f>COUNTIF(HH!$B:$B,"C")</f>
        <v>2</v>
      </c>
      <c r="G9" s="73">
        <f>COUNTIF(HH!$B:$B,"CA")</f>
        <v>6</v>
      </c>
      <c r="H9" s="73">
        <f>COUNTIF(HH!$B:$B,"CB")</f>
        <v>2</v>
      </c>
      <c r="I9" s="73">
        <f>COUNTIF(HH!$B:$B,"CC")</f>
        <v>0</v>
      </c>
      <c r="J9" s="73">
        <f t="shared" si="0"/>
        <v>34</v>
      </c>
      <c r="K9" s="141">
        <f>SUMPRODUCT((HH!$B$2:$B$35="A")*(HH!$M$2:$M$35="是"))</f>
        <v>0</v>
      </c>
      <c r="L9" s="141">
        <f>SUMPRODUCT((HH!$B$2:$B$35="B")*(HH!$M$2:$M$35="是"))</f>
        <v>0</v>
      </c>
      <c r="M9" s="73">
        <f t="shared" si="1"/>
        <v>0</v>
      </c>
    </row>
    <row r="10" spans="1:13">
      <c r="A10" s="73" t="s">
        <v>262</v>
      </c>
      <c r="B10" s="140" t="s">
        <v>263</v>
      </c>
      <c r="C10" s="73"/>
      <c r="D10" s="73">
        <f>COUNTIF(HI!$B:$B,"A")</f>
        <v>11</v>
      </c>
      <c r="E10" s="73">
        <f>COUNTIF(HI!$B:$B,"B")</f>
        <v>24</v>
      </c>
      <c r="F10" s="73">
        <f>COUNTIF(HI!$B:$B,"C")</f>
        <v>16</v>
      </c>
      <c r="G10" s="73">
        <f>COUNTIF(HI!$B:$B,"CA")</f>
        <v>2</v>
      </c>
      <c r="H10" s="73">
        <f>COUNTIF(HI!$B:$B,"CB")</f>
        <v>2</v>
      </c>
      <c r="I10" s="73">
        <f>COUNTIF(HI!$B:$B,"CC")</f>
        <v>0</v>
      </c>
      <c r="J10" s="73">
        <f t="shared" si="0"/>
        <v>55</v>
      </c>
      <c r="K10" s="141">
        <f>SUMPRODUCT((HI!$B$2:$B$46="A")*(HI!$M$2:$M$46="是"))</f>
        <v>0</v>
      </c>
      <c r="L10" s="141">
        <f>SUMPRODUCT((HI!$B$2:$B$46="B")*(HI!$M$2:$M$46="是"))</f>
        <v>0</v>
      </c>
      <c r="M10" s="73">
        <f t="shared" si="1"/>
        <v>0</v>
      </c>
    </row>
    <row r="11" spans="1:13">
      <c r="A11" s="73" t="s">
        <v>264</v>
      </c>
      <c r="B11" s="140" t="s">
        <v>265</v>
      </c>
      <c r="C11" s="73"/>
      <c r="D11" s="73">
        <f>COUNTIF(HJ!$B:$B,"A")</f>
        <v>0</v>
      </c>
      <c r="E11" s="73">
        <f>COUNTIF(HJ!$B:$B,"B")</f>
        <v>3</v>
      </c>
      <c r="F11" s="73">
        <f>COUNTIF(HJ!$B:$B,"C")</f>
        <v>0</v>
      </c>
      <c r="G11" s="73">
        <f>COUNTIF(HJ!$B:$B,"CA")</f>
        <v>0</v>
      </c>
      <c r="H11" s="73">
        <f>COUNTIF(HJ!$B:$B,"CB")</f>
        <v>4</v>
      </c>
      <c r="I11" s="73">
        <f>COUNTIF(HJ!$B:$B,"CC")</f>
        <v>0</v>
      </c>
      <c r="J11" s="73">
        <f t="shared" si="0"/>
        <v>7</v>
      </c>
      <c r="K11" s="141">
        <f>SUMPRODUCT((HJ!$B$2:$B$8="A")*(HJ!$M$2:$M$8="是"))</f>
        <v>0</v>
      </c>
      <c r="L11" s="141">
        <f>SUMPRODUCT((HJ!$B$2:$B$8="B")*(HJ!$M$2:$M$8="是"))</f>
        <v>2</v>
      </c>
      <c r="M11" s="73">
        <f t="shared" si="1"/>
        <v>2</v>
      </c>
    </row>
    <row r="12" spans="1:13">
      <c r="A12" s="73" t="s">
        <v>266</v>
      </c>
      <c r="B12" s="140" t="s">
        <v>267</v>
      </c>
      <c r="C12" s="73"/>
      <c r="D12" s="73">
        <f>COUNTIF(HK!$B:$B,"A")</f>
        <v>0</v>
      </c>
      <c r="E12" s="73">
        <f>COUNTIF(HK!$B:$B,"B")</f>
        <v>2</v>
      </c>
      <c r="F12" s="73">
        <f>COUNTIF(HK!$B:$B,"C")</f>
        <v>0</v>
      </c>
      <c r="G12" s="73">
        <f>COUNTIF(HK!$B:$B,"CA")</f>
        <v>0</v>
      </c>
      <c r="H12" s="73">
        <f>COUNTIF(HK!$B:$B,"CB")</f>
        <v>0</v>
      </c>
      <c r="I12" s="73">
        <f>COUNTIF(HK!$B:$B,"CC")</f>
        <v>0</v>
      </c>
      <c r="J12" s="73">
        <f t="shared" si="0"/>
        <v>2</v>
      </c>
      <c r="K12" s="141">
        <f>SUMPRODUCT((HK!$B$2:$B$3="A")*(HK!$M$2:$M$3="是"))</f>
        <v>0</v>
      </c>
      <c r="L12" s="141">
        <f>SUMPRODUCT((HK!$B$2:$B$3="B")*(HK!$M$2:$M$3="是"))</f>
        <v>0</v>
      </c>
      <c r="M12" s="73">
        <f t="shared" si="1"/>
        <v>0</v>
      </c>
    </row>
    <row r="13" spans="1:13">
      <c r="A13" s="73" t="s">
        <v>268</v>
      </c>
      <c r="B13" s="140" t="s">
        <v>269</v>
      </c>
      <c r="C13" s="73"/>
      <c r="D13" s="73">
        <f>COUNTIF(HL!$B:$B,"A")</f>
        <v>0</v>
      </c>
      <c r="E13" s="73">
        <f>COUNTIF(HL!$B:$B,"B")</f>
        <v>2</v>
      </c>
      <c r="F13" s="73">
        <f>COUNTIF(HL!$B:$B,"C")</f>
        <v>0</v>
      </c>
      <c r="G13" s="73">
        <f>COUNTIF(HL!$B:$B,"CA")</f>
        <v>0</v>
      </c>
      <c r="H13" s="73">
        <f>COUNTIF(HL!$B:$B,"CB")</f>
        <v>4</v>
      </c>
      <c r="I13" s="73">
        <f>COUNTIF(HL!$B:$B,"CC")</f>
        <v>0</v>
      </c>
      <c r="J13" s="73">
        <f t="shared" si="0"/>
        <v>6</v>
      </c>
      <c r="K13" s="141">
        <f>SUMPRODUCT((HL!$B$2:$B$7="A")*(HL!$M$2:$M$7="是"))</f>
        <v>0</v>
      </c>
      <c r="L13" s="141">
        <f>SUMPRODUCT((HL!$B$2:$B$7="B")*(HL!$M$2:$M$7="是"))</f>
        <v>0</v>
      </c>
      <c r="M13" s="73">
        <f t="shared" si="1"/>
        <v>0</v>
      </c>
    </row>
    <row r="14" spans="1:13">
      <c r="A14" s="73" t="s">
        <v>270</v>
      </c>
      <c r="B14" s="140" t="s">
        <v>271</v>
      </c>
      <c r="C14" s="73"/>
      <c r="D14" s="73">
        <f>COUNTIF(HM!$B:$B,"A")</f>
        <v>0</v>
      </c>
      <c r="E14" s="73">
        <f>COUNTIF(HM!$B:$B,"B")</f>
        <v>59</v>
      </c>
      <c r="F14" s="73">
        <f>COUNTIF(HM!$B:$B,"C")</f>
        <v>0</v>
      </c>
      <c r="G14" s="73">
        <f>COUNTIF(HM!$B:$B,"CA")</f>
        <v>0</v>
      </c>
      <c r="H14" s="73">
        <f>COUNTIF(HM!$B:$B,"CB")</f>
        <v>21</v>
      </c>
      <c r="I14" s="73">
        <f>COUNTIF(HM!$B:$B,"CC")</f>
        <v>0</v>
      </c>
      <c r="J14" s="73">
        <f t="shared" si="0"/>
        <v>80</v>
      </c>
      <c r="K14" s="141">
        <f>SUMPRODUCT((HM!$B$2:$B$75="A")*(HM!$M$2:$M$75="是"))</f>
        <v>0</v>
      </c>
      <c r="L14" s="141">
        <f>SUMPRODUCT((HM!$B$2:$B$75="B")*(HM!$M$2:$M$75="是"))</f>
        <v>0</v>
      </c>
      <c r="M14" s="73">
        <f t="shared" si="1"/>
        <v>0</v>
      </c>
    </row>
    <row r="15" spans="1:13">
      <c r="A15" s="73" t="s">
        <v>272</v>
      </c>
      <c r="B15" s="140" t="s">
        <v>273</v>
      </c>
      <c r="C15" s="73"/>
      <c r="D15" s="73">
        <f>COUNTIF(HN!$B:$B,"A")</f>
        <v>1</v>
      </c>
      <c r="E15" s="73">
        <f>COUNTIF(HN!$B:$B,"B")</f>
        <v>18</v>
      </c>
      <c r="F15" s="73">
        <f>COUNTIF(HN!$B:$B,"C")</f>
        <v>0</v>
      </c>
      <c r="G15" s="73">
        <f>COUNTIF(HN!$B:$B,"CA")</f>
        <v>0</v>
      </c>
      <c r="H15" s="73">
        <f>COUNTIF(HN!$B:$B,"CB")</f>
        <v>0</v>
      </c>
      <c r="I15" s="73">
        <f>COUNTIF(HN!$B:$B,"CC")</f>
        <v>0</v>
      </c>
      <c r="J15" s="73">
        <f t="shared" si="0"/>
        <v>19</v>
      </c>
      <c r="K15" s="141">
        <f>SUMPRODUCT((HN!$B$2:$B$19="A")*(HN!$M$2:$M$19="是"))</f>
        <v>0</v>
      </c>
      <c r="L15" s="141">
        <f>SUMPRODUCT((HN!$B$2:$B$19="B")*(HN!$M$2:$M$19="是"))</f>
        <v>0</v>
      </c>
      <c r="M15" s="73">
        <f t="shared" si="1"/>
        <v>0</v>
      </c>
    </row>
    <row r="16" spans="1:13">
      <c r="A16" s="73" t="s">
        <v>274</v>
      </c>
      <c r="B16" s="140" t="s">
        <v>275</v>
      </c>
      <c r="C16" s="73"/>
      <c r="D16" s="73">
        <f>COUNTIF(HO!$B:$B,"A")</f>
        <v>0</v>
      </c>
      <c r="E16" s="73">
        <f>COUNTIF(HO!$B:$B,"B")</f>
        <v>2</v>
      </c>
      <c r="F16" s="73">
        <f>COUNTIF(HO!$B:$B,"C")</f>
        <v>0</v>
      </c>
      <c r="G16" s="73">
        <f>COUNTIF(HO!$B:$B,"CA")</f>
        <v>0</v>
      </c>
      <c r="H16" s="73">
        <f>COUNTIF(HO!$B:$B,"CB")</f>
        <v>0</v>
      </c>
      <c r="I16" s="73">
        <f>COUNTIF(HO!$B:$B,"CC")</f>
        <v>0</v>
      </c>
      <c r="J16" s="73">
        <f t="shared" si="0"/>
        <v>2</v>
      </c>
      <c r="K16" s="141">
        <f>SUMPRODUCT((HO!$B$2:$B$3="A")*(HO!$M$2:$M$3="是"))</f>
        <v>0</v>
      </c>
      <c r="L16" s="141">
        <f>SUMPRODUCT((HO!$B$2:$B$3="B")*(HO!$M$2:$M$3="是"))</f>
        <v>0</v>
      </c>
      <c r="M16" s="73">
        <f t="shared" ref="M16:M23" si="2">SUM(K16:L16)</f>
        <v>0</v>
      </c>
    </row>
    <row r="17" spans="1:13">
      <c r="A17" s="73" t="s">
        <v>276</v>
      </c>
      <c r="B17" s="140" t="s">
        <v>277</v>
      </c>
      <c r="C17" s="73"/>
      <c r="D17" s="73">
        <f>COUNTIF(HP!$B:$B,"A")</f>
        <v>0</v>
      </c>
      <c r="E17" s="73">
        <f>COUNTIF(HP!$B:$B,"B")</f>
        <v>2</v>
      </c>
      <c r="F17" s="73">
        <f>COUNTIF(HP!$B:$B,"C")</f>
        <v>0</v>
      </c>
      <c r="G17" s="73">
        <f>COUNTIF(HP!$B:$B,"CA")</f>
        <v>0</v>
      </c>
      <c r="H17" s="73">
        <f>COUNTIF(HP!$B:$B,"CB")</f>
        <v>0</v>
      </c>
      <c r="I17" s="73">
        <f>COUNTIF(HP!$B:$B,"CC")</f>
        <v>0</v>
      </c>
      <c r="J17" s="73">
        <f t="shared" si="0"/>
        <v>2</v>
      </c>
      <c r="K17" s="141">
        <f>SUMPRODUCT((HP!$B$2:$B$3="A")*(HP!$M$2:$M$3="是"))</f>
        <v>0</v>
      </c>
      <c r="L17" s="141">
        <f>SUMPRODUCT((HP!$B$2:$B$3="B")*(HP!$M$2:$M$3="是"))</f>
        <v>0</v>
      </c>
      <c r="M17" s="73">
        <f t="shared" si="2"/>
        <v>0</v>
      </c>
    </row>
    <row r="18" spans="1:13">
      <c r="A18" s="73" t="s">
        <v>278</v>
      </c>
      <c r="B18" s="140" t="s">
        <v>279</v>
      </c>
      <c r="C18" s="73"/>
      <c r="D18" s="73">
        <f>COUNTIF(HQ!$B:$B,"A")</f>
        <v>0</v>
      </c>
      <c r="E18" s="73">
        <f>COUNTIF(HQ!$B:$B,"B")</f>
        <v>2</v>
      </c>
      <c r="F18" s="73">
        <f>COUNTIF(HQ!$B:$B,"C")</f>
        <v>0</v>
      </c>
      <c r="G18" s="73">
        <f>COUNTIF(HQ!$B:$B,"CA")</f>
        <v>0</v>
      </c>
      <c r="H18" s="73">
        <f>COUNTIF(HQ!$B:$B,"CB")</f>
        <v>0</v>
      </c>
      <c r="I18" s="73">
        <f>COUNTIF(HQ!$B:$B,"CC")</f>
        <v>0</v>
      </c>
      <c r="J18" s="73">
        <f t="shared" si="0"/>
        <v>2</v>
      </c>
      <c r="K18" s="141">
        <f>SUMPRODUCT((HQ!$B$2:$B$3="A")*(HQ!$M$2:$M$3="是"))</f>
        <v>0</v>
      </c>
      <c r="L18" s="141">
        <f>SUMPRODUCT((HQ!$B$2:$B$3="B")*(HQ!$M$2:$M$3="是"))</f>
        <v>0</v>
      </c>
      <c r="M18" s="73">
        <f t="shared" si="2"/>
        <v>0</v>
      </c>
    </row>
    <row r="19" spans="1:13">
      <c r="A19" s="73" t="s">
        <v>280</v>
      </c>
      <c r="B19" s="139" t="s">
        <v>281</v>
      </c>
      <c r="C19" s="73"/>
      <c r="D19" s="73">
        <f>COUNTIF(HR!$B:$B,"A")</f>
        <v>0</v>
      </c>
      <c r="E19" s="73">
        <f>COUNTIF(HR!$B:$B,"B")</f>
        <v>0</v>
      </c>
      <c r="F19" s="73">
        <f>COUNTIF(HR!$B:$B,"C")</f>
        <v>0</v>
      </c>
      <c r="G19" s="73">
        <f>COUNTIF(HR!$B:$B,"CA")</f>
        <v>0</v>
      </c>
      <c r="H19" s="73">
        <f>COUNTIF(HR!$B:$B,"CB")</f>
        <v>3</v>
      </c>
      <c r="I19" s="73">
        <f>COUNTIF(HR!$B:$B,"CC")</f>
        <v>0</v>
      </c>
      <c r="J19" s="73">
        <f t="shared" si="0"/>
        <v>3</v>
      </c>
      <c r="K19" s="141">
        <f>SUMPRODUCT((HR!$B$2:$B$4="A")*(HR!$M$2:$M$4="是"))</f>
        <v>0</v>
      </c>
      <c r="L19" s="141">
        <f>SUMPRODUCT((HR!$B$2:$B$4="B")*(HR!$M$2:$M$4="是"))</f>
        <v>0</v>
      </c>
      <c r="M19" s="73">
        <f t="shared" si="2"/>
        <v>0</v>
      </c>
    </row>
    <row r="20" spans="1:13">
      <c r="A20" s="73" t="s">
        <v>282</v>
      </c>
      <c r="B20" s="139" t="s">
        <v>283</v>
      </c>
      <c r="C20" s="73"/>
      <c r="D20" s="73">
        <f>COUNTIF(HS!$B:$B,"A")</f>
        <v>0</v>
      </c>
      <c r="E20" s="73">
        <f>COUNTIF(HS!$B:$B,"B")</f>
        <v>2</v>
      </c>
      <c r="F20" s="73">
        <f>COUNTIF(HS!$B:$B,"C")</f>
        <v>0</v>
      </c>
      <c r="G20" s="73">
        <f>COUNTIF(HS!$B:$B,"CA")</f>
        <v>0</v>
      </c>
      <c r="H20" s="73">
        <f>COUNTIF(HS!$B:$B,"CB")</f>
        <v>0</v>
      </c>
      <c r="I20" s="73">
        <f>COUNTIF(HS!$B:$B,"CC")</f>
        <v>0</v>
      </c>
      <c r="J20" s="73">
        <f t="shared" si="0"/>
        <v>2</v>
      </c>
      <c r="K20" s="73">
        <f>SUMPRODUCT((HS!$B$2:$B$3="A")*(HS!$M$2:$M$3="是"))</f>
        <v>0</v>
      </c>
      <c r="L20" s="73">
        <f>SUMPRODUCT((HS!$B$2:$B$3="B")*(HS!$M$2:$M$3="是"))</f>
        <v>0</v>
      </c>
      <c r="M20" s="73">
        <f t="shared" si="2"/>
        <v>0</v>
      </c>
    </row>
    <row r="21" spans="1:13">
      <c r="A21" s="73" t="s">
        <v>284</v>
      </c>
      <c r="B21" s="139" t="s">
        <v>285</v>
      </c>
      <c r="C21" s="73"/>
      <c r="D21" s="73">
        <f>COUNTIF(HT!$B:$B,"A")</f>
        <v>0</v>
      </c>
      <c r="E21" s="73">
        <f>COUNTIF(HT!$B:$B,"B")</f>
        <v>0</v>
      </c>
      <c r="F21" s="73">
        <f>COUNTIF(HT!$B:$B,"C")</f>
        <v>0</v>
      </c>
      <c r="G21" s="73">
        <f>COUNTIF(HT!$B:$B,"CA")</f>
        <v>0</v>
      </c>
      <c r="H21" s="73">
        <f>COUNTIF(HT!$B:$B,"CB")</f>
        <v>4</v>
      </c>
      <c r="I21" s="73">
        <f>COUNTIF(HT!$B:$B,"CC")</f>
        <v>1</v>
      </c>
      <c r="J21" s="73">
        <f t="shared" si="0"/>
        <v>4</v>
      </c>
      <c r="K21" s="73">
        <f>SUMPRODUCT((HT!$B$2:$B$3="A")*(HT!$M$2:$M$3="是"))</f>
        <v>0</v>
      </c>
      <c r="L21" s="73">
        <f>SUMPRODUCT((HT!$B$2:$B$3="B")*(HT!$M$2:$M$3="是"))</f>
        <v>0</v>
      </c>
      <c r="M21" s="73">
        <f t="shared" si="2"/>
        <v>0</v>
      </c>
    </row>
    <row r="22" spans="1:13">
      <c r="A22" s="73" t="s">
        <v>286</v>
      </c>
      <c r="B22" s="139" t="s">
        <v>287</v>
      </c>
      <c r="C22" s="73"/>
      <c r="D22" s="73">
        <f>COUNTIF(HT!$B:$B,"A")</f>
        <v>0</v>
      </c>
      <c r="E22" s="73">
        <f>COUNTIF(HU!$B:$B,"B")</f>
        <v>1</v>
      </c>
      <c r="F22" s="73">
        <f>COUNTIF(HU!$B:$B,"C")</f>
        <v>0</v>
      </c>
      <c r="G22" s="73">
        <f>COUNTIF(HT!$B:$B,"CA")</f>
        <v>0</v>
      </c>
      <c r="H22" s="73">
        <f>COUNTIF(HU!$B:$B,"CB")</f>
        <v>10</v>
      </c>
      <c r="I22" s="73">
        <f>COUNTIF(HU!$B:$B,"CC")</f>
        <v>0</v>
      </c>
      <c r="J22" s="73">
        <f t="shared" si="0"/>
        <v>11</v>
      </c>
      <c r="K22" s="73">
        <f>SUMPRODUCT((HT!$B$2:$B$3="A")*(HT!$M$2:$M$3="是"))</f>
        <v>0</v>
      </c>
      <c r="L22" s="73">
        <f>SUMPRODUCT((HT!$B$2:$B$3="B")*(HT!$M$2:$M$3="是"))</f>
        <v>0</v>
      </c>
      <c r="M22" s="73">
        <f t="shared" si="2"/>
        <v>0</v>
      </c>
    </row>
    <row r="23" spans="1:13">
      <c r="A23" s="73" t="s">
        <v>288</v>
      </c>
      <c r="B23" s="139" t="s">
        <v>289</v>
      </c>
      <c r="C23" s="73"/>
      <c r="D23" s="73">
        <f>COUNTIF(HV!$B:$B,"A")</f>
        <v>0</v>
      </c>
      <c r="E23" s="73">
        <f>COUNTIF(HV!$B:$B,"B")</f>
        <v>0</v>
      </c>
      <c r="F23" s="73">
        <f>COUNTIF(HV!$B:$B,"C")</f>
        <v>0</v>
      </c>
      <c r="G23" s="73">
        <f>COUNTIF(HV!$B:$B,"CA")</f>
        <v>0</v>
      </c>
      <c r="H23" s="73">
        <f>COUNTIF(HV!$B:$B,"CB")</f>
        <v>37</v>
      </c>
      <c r="I23" s="73">
        <f>COUNTIF(HV!$B:$B,"CC")</f>
        <v>0</v>
      </c>
      <c r="J23" s="73">
        <f t="shared" si="0"/>
        <v>37</v>
      </c>
      <c r="K23" s="73">
        <f>SUMPRODUCT((HT!$B$2:$B$3="A")*(HT!$M$2:$M$3="是"))</f>
        <v>0</v>
      </c>
      <c r="L23" s="73">
        <f>SUMPRODUCT((HT!$B$2:$B$3="B")*(HT!$M$2:$M$3="是"))</f>
        <v>0</v>
      </c>
      <c r="M23" s="73">
        <f t="shared" si="2"/>
        <v>0</v>
      </c>
    </row>
    <row r="24" spans="1:13">
      <c r="A24" s="141" t="s">
        <v>290</v>
      </c>
      <c r="B24" s="141"/>
      <c r="C24" s="142"/>
      <c r="D24" s="142">
        <f t="shared" ref="D24:M24" si="3">SUM(D2:D23)</f>
        <v>56</v>
      </c>
      <c r="E24" s="142">
        <f t="shared" si="3"/>
        <v>235</v>
      </c>
      <c r="F24" s="142">
        <f t="shared" si="3"/>
        <v>63</v>
      </c>
      <c r="G24" s="142">
        <f t="shared" si="3"/>
        <v>17</v>
      </c>
      <c r="H24" s="142">
        <f t="shared" si="3"/>
        <v>126</v>
      </c>
      <c r="I24" s="142">
        <f t="shared" si="3"/>
        <v>12</v>
      </c>
      <c r="J24" s="142">
        <f t="shared" si="3"/>
        <v>497</v>
      </c>
      <c r="K24" s="142">
        <f t="shared" si="3"/>
        <v>15</v>
      </c>
      <c r="L24" s="142">
        <f t="shared" si="3"/>
        <v>22</v>
      </c>
      <c r="M24" s="142">
        <f t="shared" si="3"/>
        <v>37</v>
      </c>
    </row>
    <row r="25" spans="2:2">
      <c r="B25" s="143"/>
    </row>
    <row r="26" spans="2:2">
      <c r="B26" s="143"/>
    </row>
    <row r="27" spans="1:2">
      <c r="A27" s="144" t="s">
        <v>291</v>
      </c>
      <c r="B27" s="144" t="s">
        <v>292</v>
      </c>
    </row>
    <row r="28" spans="1:2">
      <c r="A28" s="145" t="s">
        <v>293</v>
      </c>
      <c r="B28" s="145" t="s">
        <v>294</v>
      </c>
    </row>
    <row r="29" spans="1:2">
      <c r="A29" s="145" t="s">
        <v>295</v>
      </c>
      <c r="B29" s="145" t="s">
        <v>296</v>
      </c>
    </row>
    <row r="30" spans="1:2">
      <c r="A30" s="145" t="s">
        <v>297</v>
      </c>
      <c r="B30" s="145" t="s">
        <v>298</v>
      </c>
    </row>
    <row r="31" spans="1:2">
      <c r="A31" s="145" t="s">
        <v>274</v>
      </c>
      <c r="B31" s="145" t="s">
        <v>299</v>
      </c>
    </row>
    <row r="32" spans="1:2">
      <c r="A32" s="145" t="s">
        <v>300</v>
      </c>
      <c r="B32" s="145" t="s">
        <v>301</v>
      </c>
    </row>
    <row r="33" spans="1:2">
      <c r="A33" s="145" t="s">
        <v>302</v>
      </c>
      <c r="B33" s="145" t="s">
        <v>303</v>
      </c>
    </row>
    <row r="34" spans="1:2">
      <c r="A34" s="145" t="s">
        <v>304</v>
      </c>
      <c r="B34" s="145" t="s">
        <v>305</v>
      </c>
    </row>
    <row r="35" spans="1:2">
      <c r="A35" s="145" t="s">
        <v>306</v>
      </c>
      <c r="B35" s="145" t="s">
        <v>307</v>
      </c>
    </row>
    <row r="36" spans="1:2">
      <c r="A36" s="145" t="s">
        <v>308</v>
      </c>
      <c r="B36" s="145" t="s">
        <v>309</v>
      </c>
    </row>
    <row r="37" spans="1:2">
      <c r="A37" s="145" t="s">
        <v>310</v>
      </c>
      <c r="B37" s="145" t="s">
        <v>311</v>
      </c>
    </row>
    <row r="38" spans="1:2">
      <c r="A38" s="145" t="s">
        <v>312</v>
      </c>
      <c r="B38" s="145" t="s">
        <v>313</v>
      </c>
    </row>
    <row r="39" spans="1:2">
      <c r="A39" s="145" t="s">
        <v>314</v>
      </c>
      <c r="B39" s="145" t="s">
        <v>315</v>
      </c>
    </row>
    <row r="40" spans="1:2">
      <c r="A40" s="145" t="s">
        <v>316</v>
      </c>
      <c r="B40" s="145" t="s">
        <v>283</v>
      </c>
    </row>
    <row r="41" spans="1:2">
      <c r="A41" s="145" t="s">
        <v>317</v>
      </c>
      <c r="B41" s="145" t="s">
        <v>318</v>
      </c>
    </row>
    <row r="42" spans="1:2">
      <c r="A42" s="145" t="s">
        <v>319</v>
      </c>
      <c r="B42" s="145" t="s">
        <v>320</v>
      </c>
    </row>
    <row r="44" ht="168.95" customHeight="1" spans="1:5">
      <c r="A44" s="146" t="s">
        <v>321</v>
      </c>
      <c r="B44" s="147"/>
      <c r="C44" s="147"/>
      <c r="D44" s="147"/>
      <c r="E44" s="148"/>
    </row>
    <row r="45" spans="1:5">
      <c r="A45" s="149" t="s">
        <v>322</v>
      </c>
      <c r="B45" s="149"/>
      <c r="C45" s="149"/>
      <c r="D45" s="149"/>
      <c r="E45" s="149"/>
    </row>
    <row r="46" spans="1:5">
      <c r="A46" s="149"/>
      <c r="B46" s="149"/>
      <c r="C46" s="149"/>
      <c r="D46" s="149"/>
      <c r="E46" s="149"/>
    </row>
    <row r="47" spans="1:5">
      <c r="A47" s="149"/>
      <c r="B47" s="149"/>
      <c r="C47" s="149"/>
      <c r="D47" s="149"/>
      <c r="E47" s="149"/>
    </row>
  </sheetData>
  <mergeCells count="3">
    <mergeCell ref="A24:B24"/>
    <mergeCell ref="A44:E44"/>
    <mergeCell ref="A45:E47"/>
  </mergeCells>
  <pageMargins left="0.75" right="0.75" top="1" bottom="1" header="0.5" footer="0.5"/>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00B050"/>
  </sheetPr>
  <dimension ref="A1:B19"/>
  <sheetViews>
    <sheetView workbookViewId="0">
      <selection activeCell="A8" sqref="$A8:$XFD8"/>
    </sheetView>
  </sheetViews>
  <sheetFormatPr defaultColWidth="8.79" defaultRowHeight="13" outlineLevelCol="1"/>
  <cols>
    <col min="2" max="2" width="219.64" customWidth="1"/>
  </cols>
  <sheetData>
    <row r="1" spans="1:2">
      <c r="A1" s="4" t="s">
        <v>323</v>
      </c>
      <c r="B1" s="4" t="s">
        <v>324</v>
      </c>
    </row>
    <row r="2" s="62" customFormat="1" ht="14.5" spans="1:2">
      <c r="A2" s="128">
        <v>1</v>
      </c>
      <c r="B2" s="129" t="s">
        <v>325</v>
      </c>
    </row>
    <row r="3" s="62" customFormat="1" ht="14.5" spans="1:2">
      <c r="A3" s="128">
        <v>2</v>
      </c>
      <c r="B3" s="129" t="s">
        <v>326</v>
      </c>
    </row>
    <row r="4" s="62" customFormat="1" ht="14.5" spans="1:2">
      <c r="A4" s="128">
        <v>3</v>
      </c>
      <c r="B4" s="129" t="s">
        <v>327</v>
      </c>
    </row>
    <row r="5" s="127" customFormat="1" ht="87" spans="1:2">
      <c r="A5" s="130">
        <v>4</v>
      </c>
      <c r="B5" s="131" t="s">
        <v>328</v>
      </c>
    </row>
    <row r="6" s="62" customFormat="1" ht="36" customHeight="1" spans="1:2">
      <c r="A6" s="128">
        <v>5</v>
      </c>
      <c r="B6" s="132" t="s">
        <v>329</v>
      </c>
    </row>
    <row r="7" s="62" customFormat="1" ht="14.5" spans="1:2">
      <c r="A7" s="128">
        <v>6</v>
      </c>
      <c r="B7" s="132" t="s">
        <v>330</v>
      </c>
    </row>
    <row r="8" s="127" customFormat="1" ht="25.05" customHeight="1" spans="1:2">
      <c r="A8" s="130">
        <v>7</v>
      </c>
      <c r="B8" s="133" t="s">
        <v>331</v>
      </c>
    </row>
    <row r="19" spans="2:2">
      <c r="B19" s="134"/>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00B050"/>
  </sheetPr>
  <dimension ref="A1:N43"/>
  <sheetViews>
    <sheetView topLeftCell="E1" workbookViewId="0">
      <selection activeCell="J39" sqref="J39:J40"/>
    </sheetView>
  </sheetViews>
  <sheetFormatPr defaultColWidth="9" defaultRowHeight="13"/>
  <cols>
    <col min="1" max="1" width="9" style="1"/>
    <col min="2" max="2" width="7.64" style="1" customWidth="1"/>
    <col min="3" max="3" width="29.43" style="1" customWidth="1"/>
    <col min="4" max="4" width="20.43" style="1" customWidth="1"/>
    <col min="5" max="5" width="45.43" style="1" customWidth="1"/>
    <col min="6" max="6" width="40.57" style="1" customWidth="1"/>
    <col min="7" max="7" width="9" style="1"/>
    <col min="8" max="8" width="9.64" style="1" customWidth="1"/>
    <col min="9" max="9" width="5.64" style="1" customWidth="1"/>
    <col min="10" max="10" width="15" style="1" customWidth="1"/>
    <col min="11" max="12" width="9" style="1"/>
    <col min="13" max="13" width="9.64" style="1" customWidth="1"/>
    <col min="14" max="14" width="18.64" style="1" customWidth="1"/>
    <col min="15" max="16384" width="9" style="1"/>
  </cols>
  <sheetData>
    <row r="1" spans="1:14">
      <c r="A1" s="4" t="s">
        <v>332</v>
      </c>
      <c r="B1" s="4" t="s">
        <v>333</v>
      </c>
      <c r="C1" s="4" t="s">
        <v>334</v>
      </c>
      <c r="D1" s="4" t="s">
        <v>335</v>
      </c>
      <c r="E1" s="4" t="s">
        <v>336</v>
      </c>
      <c r="F1" s="4" t="s">
        <v>337</v>
      </c>
      <c r="G1" s="4" t="s">
        <v>338</v>
      </c>
      <c r="H1" s="4" t="s">
        <v>339</v>
      </c>
      <c r="I1" s="4" t="s">
        <v>340</v>
      </c>
      <c r="J1" s="4" t="s">
        <v>341</v>
      </c>
      <c r="K1" s="4" t="s">
        <v>342</v>
      </c>
      <c r="L1" s="4" t="s">
        <v>343</v>
      </c>
      <c r="M1" s="4" t="s">
        <v>344</v>
      </c>
      <c r="N1" s="4" t="s">
        <v>235</v>
      </c>
    </row>
    <row r="2" ht="91" spans="1:14">
      <c r="A2" s="5" t="s">
        <v>345</v>
      </c>
      <c r="B2" s="5" t="s">
        <v>346</v>
      </c>
      <c r="C2" s="6" t="s">
        <v>347</v>
      </c>
      <c r="D2" s="6" t="s">
        <v>348</v>
      </c>
      <c r="E2" s="6" t="s">
        <v>349</v>
      </c>
      <c r="F2" s="6" t="s">
        <v>350</v>
      </c>
      <c r="G2" s="5" t="s">
        <v>351</v>
      </c>
      <c r="H2" s="5" t="s">
        <v>352</v>
      </c>
      <c r="I2" s="5" t="s">
        <v>353</v>
      </c>
      <c r="J2" s="13" t="s">
        <v>354</v>
      </c>
      <c r="K2" s="5" t="s">
        <v>355</v>
      </c>
      <c r="L2" s="5" t="s">
        <v>355</v>
      </c>
      <c r="M2" s="5" t="s">
        <v>356</v>
      </c>
      <c r="N2" s="9" t="s">
        <v>357</v>
      </c>
    </row>
    <row r="3" ht="91" spans="1:14">
      <c r="A3" s="5" t="s">
        <v>358</v>
      </c>
      <c r="B3" s="5" t="s">
        <v>346</v>
      </c>
      <c r="C3" s="6" t="s">
        <v>359</v>
      </c>
      <c r="D3" s="6" t="s">
        <v>360</v>
      </c>
      <c r="E3" s="6" t="s">
        <v>361</v>
      </c>
      <c r="F3" s="6" t="s">
        <v>362</v>
      </c>
      <c r="G3" s="5" t="s">
        <v>351</v>
      </c>
      <c r="H3" s="5" t="s">
        <v>352</v>
      </c>
      <c r="I3" s="5" t="s">
        <v>353</v>
      </c>
      <c r="J3" s="13" t="s">
        <v>363</v>
      </c>
      <c r="K3" s="5" t="s">
        <v>355</v>
      </c>
      <c r="L3" s="5" t="s">
        <v>355</v>
      </c>
      <c r="M3" s="5" t="s">
        <v>356</v>
      </c>
      <c r="N3" s="14"/>
    </row>
    <row r="4" ht="23.25" customHeight="1" spans="1:14">
      <c r="A4" s="13" t="s">
        <v>364</v>
      </c>
      <c r="B4" s="5" t="s">
        <v>346</v>
      </c>
      <c r="C4" s="6" t="s">
        <v>365</v>
      </c>
      <c r="D4" s="6" t="s">
        <v>366</v>
      </c>
      <c r="E4" s="7" t="s">
        <v>367</v>
      </c>
      <c r="F4" s="7" t="s">
        <v>368</v>
      </c>
      <c r="G4" s="13" t="s">
        <v>369</v>
      </c>
      <c r="H4" s="13" t="s">
        <v>370</v>
      </c>
      <c r="I4" s="13" t="s">
        <v>371</v>
      </c>
      <c r="J4" s="13" t="s">
        <v>372</v>
      </c>
      <c r="K4" s="13" t="s">
        <v>355</v>
      </c>
      <c r="L4" s="13" t="s">
        <v>355</v>
      </c>
      <c r="M4" s="13" t="s">
        <v>356</v>
      </c>
      <c r="N4" s="9"/>
    </row>
    <row r="5" ht="28.5" customHeight="1" spans="1:14">
      <c r="A5" s="13" t="s">
        <v>364</v>
      </c>
      <c r="B5" s="5" t="s">
        <v>373</v>
      </c>
      <c r="C5" s="6" t="s">
        <v>374</v>
      </c>
      <c r="D5" s="6" t="s">
        <v>375</v>
      </c>
      <c r="E5" s="7" t="s">
        <v>367</v>
      </c>
      <c r="F5" s="7" t="s">
        <v>368</v>
      </c>
      <c r="G5" s="13" t="s">
        <v>369</v>
      </c>
      <c r="H5" s="13" t="s">
        <v>370</v>
      </c>
      <c r="I5" s="13" t="s">
        <v>371</v>
      </c>
      <c r="J5" s="13" t="s">
        <v>372</v>
      </c>
      <c r="K5" s="13" t="s">
        <v>355</v>
      </c>
      <c r="L5" s="13" t="s">
        <v>355</v>
      </c>
      <c r="M5" s="13" t="s">
        <v>356</v>
      </c>
      <c r="N5" s="9" t="s">
        <v>376</v>
      </c>
    </row>
    <row r="6" spans="1:14">
      <c r="A6" s="13" t="s">
        <v>377</v>
      </c>
      <c r="B6" s="5" t="s">
        <v>346</v>
      </c>
      <c r="C6" s="6" t="s">
        <v>378</v>
      </c>
      <c r="D6" s="6" t="s">
        <v>379</v>
      </c>
      <c r="E6" s="7" t="s">
        <v>380</v>
      </c>
      <c r="F6" s="7" t="s">
        <v>381</v>
      </c>
      <c r="G6" s="13" t="s">
        <v>369</v>
      </c>
      <c r="H6" s="13" t="s">
        <v>352</v>
      </c>
      <c r="I6" s="13" t="s">
        <v>371</v>
      </c>
      <c r="J6" s="13" t="s">
        <v>372</v>
      </c>
      <c r="K6" s="13" t="s">
        <v>355</v>
      </c>
      <c r="L6" s="13" t="s">
        <v>355</v>
      </c>
      <c r="M6" s="13" t="s">
        <v>356</v>
      </c>
      <c r="N6" s="9"/>
    </row>
    <row r="7" ht="39" spans="1:14">
      <c r="A7" s="13"/>
      <c r="B7" s="5" t="s">
        <v>373</v>
      </c>
      <c r="C7" s="6" t="s">
        <v>382</v>
      </c>
      <c r="D7" s="6" t="s">
        <v>383</v>
      </c>
      <c r="E7" s="7"/>
      <c r="F7" s="7"/>
      <c r="G7" s="13"/>
      <c r="H7" s="13"/>
      <c r="I7" s="13"/>
      <c r="J7" s="13"/>
      <c r="K7" s="13"/>
      <c r="L7" s="13"/>
      <c r="M7" s="13"/>
      <c r="N7" s="9" t="s">
        <v>376</v>
      </c>
    </row>
    <row r="8" ht="26" spans="1:14">
      <c r="A8" s="13" t="s">
        <v>377</v>
      </c>
      <c r="B8" s="5" t="s">
        <v>373</v>
      </c>
      <c r="C8" s="6" t="s">
        <v>384</v>
      </c>
      <c r="D8" s="6" t="s">
        <v>385</v>
      </c>
      <c r="E8" s="7" t="s">
        <v>380</v>
      </c>
      <c r="F8" s="7" t="s">
        <v>381</v>
      </c>
      <c r="G8" s="13" t="s">
        <v>369</v>
      </c>
      <c r="H8" s="13" t="s">
        <v>352</v>
      </c>
      <c r="I8" s="13" t="s">
        <v>371</v>
      </c>
      <c r="J8" s="13" t="s">
        <v>372</v>
      </c>
      <c r="K8" s="13" t="s">
        <v>355</v>
      </c>
      <c r="L8" s="13" t="s">
        <v>355</v>
      </c>
      <c r="M8" s="13" t="s">
        <v>356</v>
      </c>
      <c r="N8" s="9"/>
    </row>
    <row r="9" ht="27.95" customHeight="1" spans="1:14">
      <c r="A9" s="13" t="s">
        <v>386</v>
      </c>
      <c r="B9" s="5" t="s">
        <v>387</v>
      </c>
      <c r="C9" s="6" t="s">
        <v>388</v>
      </c>
      <c r="D9" s="6" t="s">
        <v>389</v>
      </c>
      <c r="E9" s="7" t="s">
        <v>390</v>
      </c>
      <c r="F9" s="7" t="s">
        <v>391</v>
      </c>
      <c r="G9" s="13" t="s">
        <v>392</v>
      </c>
      <c r="H9" s="13" t="s">
        <v>352</v>
      </c>
      <c r="I9" s="13" t="s">
        <v>393</v>
      </c>
      <c r="J9" s="13" t="s">
        <v>372</v>
      </c>
      <c r="K9" s="13" t="s">
        <v>355</v>
      </c>
      <c r="L9" s="13" t="s">
        <v>355</v>
      </c>
      <c r="M9" s="13" t="s">
        <v>356</v>
      </c>
      <c r="N9" s="9"/>
    </row>
    <row r="10" ht="39" spans="1:14">
      <c r="A10" s="13"/>
      <c r="B10" s="5" t="s">
        <v>373</v>
      </c>
      <c r="C10" s="6" t="s">
        <v>394</v>
      </c>
      <c r="D10" s="6" t="s">
        <v>395</v>
      </c>
      <c r="E10" s="7"/>
      <c r="F10" s="7"/>
      <c r="G10" s="13"/>
      <c r="H10" s="13"/>
      <c r="I10" s="13"/>
      <c r="J10" s="13"/>
      <c r="K10" s="13"/>
      <c r="L10" s="13"/>
      <c r="M10" s="13"/>
      <c r="N10" s="9" t="s">
        <v>376</v>
      </c>
    </row>
    <row r="11" ht="26" spans="1:14">
      <c r="A11" s="13"/>
      <c r="B11" s="5" t="s">
        <v>396</v>
      </c>
      <c r="C11" s="6" t="s">
        <v>397</v>
      </c>
      <c r="D11" s="6" t="s">
        <v>398</v>
      </c>
      <c r="E11" s="7" t="s">
        <v>399</v>
      </c>
      <c r="F11" s="7"/>
      <c r="G11" s="13" t="s">
        <v>392</v>
      </c>
      <c r="H11" s="13" t="s">
        <v>352</v>
      </c>
      <c r="I11" s="13" t="s">
        <v>393</v>
      </c>
      <c r="J11" s="13" t="s">
        <v>400</v>
      </c>
      <c r="K11" s="13" t="s">
        <v>355</v>
      </c>
      <c r="L11" s="13" t="s">
        <v>355</v>
      </c>
      <c r="M11" s="13"/>
      <c r="N11" s="9"/>
    </row>
    <row r="12" ht="23.1" customHeight="1" spans="1:14">
      <c r="A12" s="13" t="s">
        <v>401</v>
      </c>
      <c r="B12" s="5" t="s">
        <v>387</v>
      </c>
      <c r="C12" s="6" t="s">
        <v>402</v>
      </c>
      <c r="D12" s="6" t="s">
        <v>403</v>
      </c>
      <c r="E12" s="7" t="s">
        <v>404</v>
      </c>
      <c r="F12" s="7" t="s">
        <v>405</v>
      </c>
      <c r="G12" s="13" t="s">
        <v>392</v>
      </c>
      <c r="H12" s="13" t="s">
        <v>352</v>
      </c>
      <c r="I12" s="13" t="s">
        <v>393</v>
      </c>
      <c r="J12" s="13" t="s">
        <v>372</v>
      </c>
      <c r="K12" s="13" t="s">
        <v>355</v>
      </c>
      <c r="L12" s="13" t="s">
        <v>355</v>
      </c>
      <c r="M12" s="13" t="s">
        <v>356</v>
      </c>
      <c r="N12" s="9"/>
    </row>
    <row r="13" ht="28.5" customHeight="1" spans="1:14">
      <c r="A13" s="13"/>
      <c r="B13" s="5" t="s">
        <v>373</v>
      </c>
      <c r="C13" s="6" t="s">
        <v>406</v>
      </c>
      <c r="D13" s="6" t="s">
        <v>407</v>
      </c>
      <c r="E13" s="7"/>
      <c r="F13" s="7"/>
      <c r="G13" s="13"/>
      <c r="H13" s="13"/>
      <c r="I13" s="13"/>
      <c r="J13" s="13"/>
      <c r="K13" s="13"/>
      <c r="L13" s="13"/>
      <c r="M13" s="13"/>
      <c r="N13" s="9" t="s">
        <v>376</v>
      </c>
    </row>
    <row r="14" ht="28.5" customHeight="1" spans="1:14">
      <c r="A14" s="13"/>
      <c r="B14" s="5" t="s">
        <v>396</v>
      </c>
      <c r="C14" s="6" t="s">
        <v>408</v>
      </c>
      <c r="D14" s="6" t="s">
        <v>409</v>
      </c>
      <c r="E14" s="7"/>
      <c r="F14" s="7"/>
      <c r="G14" s="13" t="s">
        <v>392</v>
      </c>
      <c r="H14" s="13" t="s">
        <v>352</v>
      </c>
      <c r="I14" s="13" t="s">
        <v>393</v>
      </c>
      <c r="J14" s="13" t="s">
        <v>410</v>
      </c>
      <c r="K14" s="13" t="s">
        <v>355</v>
      </c>
      <c r="L14" s="13" t="s">
        <v>355</v>
      </c>
      <c r="M14" s="13"/>
      <c r="N14" s="9"/>
    </row>
    <row r="15" ht="36.6" customHeight="1" spans="1:14">
      <c r="A15" s="13" t="s">
        <v>411</v>
      </c>
      <c r="B15" s="5" t="s">
        <v>346</v>
      </c>
      <c r="C15" s="6" t="s">
        <v>412</v>
      </c>
      <c r="D15" s="6" t="s">
        <v>413</v>
      </c>
      <c r="E15" s="7" t="s">
        <v>414</v>
      </c>
      <c r="F15" s="7" t="s">
        <v>415</v>
      </c>
      <c r="G15" s="13" t="s">
        <v>392</v>
      </c>
      <c r="H15" s="13" t="s">
        <v>352</v>
      </c>
      <c r="I15" s="13" t="s">
        <v>393</v>
      </c>
      <c r="J15" s="13" t="s">
        <v>372</v>
      </c>
      <c r="K15" s="13" t="s">
        <v>355</v>
      </c>
      <c r="L15" s="13" t="s">
        <v>355</v>
      </c>
      <c r="M15" s="13" t="s">
        <v>356</v>
      </c>
      <c r="N15" s="9"/>
    </row>
    <row r="16" ht="47.75" customHeight="1" spans="1:14">
      <c r="A16" s="13"/>
      <c r="B16" s="5" t="s">
        <v>373</v>
      </c>
      <c r="C16" s="6" t="s">
        <v>416</v>
      </c>
      <c r="D16" s="6" t="s">
        <v>417</v>
      </c>
      <c r="E16" s="7"/>
      <c r="F16" s="7"/>
      <c r="G16" s="13"/>
      <c r="H16" s="13"/>
      <c r="I16" s="13"/>
      <c r="J16" s="13"/>
      <c r="K16" s="13"/>
      <c r="L16" s="13"/>
      <c r="M16" s="13"/>
      <c r="N16" s="9" t="s">
        <v>376</v>
      </c>
    </row>
    <row r="17" ht="47.75" customHeight="1" spans="1:14">
      <c r="A17" s="13"/>
      <c r="B17" s="5" t="s">
        <v>396</v>
      </c>
      <c r="C17" s="6" t="s">
        <v>418</v>
      </c>
      <c r="D17" s="6" t="s">
        <v>419</v>
      </c>
      <c r="E17" s="85"/>
      <c r="F17" s="7"/>
      <c r="G17" s="13"/>
      <c r="H17" s="13"/>
      <c r="I17" s="13"/>
      <c r="J17" s="13"/>
      <c r="K17" s="13"/>
      <c r="L17" s="13"/>
      <c r="M17" s="13"/>
      <c r="N17" s="9"/>
    </row>
    <row r="18" ht="18.75" customHeight="1" spans="1:14">
      <c r="A18" s="13" t="s">
        <v>420</v>
      </c>
      <c r="B18" s="5" t="s">
        <v>346</v>
      </c>
      <c r="C18" s="6" t="s">
        <v>421</v>
      </c>
      <c r="D18" s="6" t="s">
        <v>422</v>
      </c>
      <c r="E18" s="7" t="s">
        <v>423</v>
      </c>
      <c r="F18" s="7" t="s">
        <v>424</v>
      </c>
      <c r="G18" s="13" t="s">
        <v>392</v>
      </c>
      <c r="H18" s="13" t="s">
        <v>352</v>
      </c>
      <c r="I18" s="13" t="s">
        <v>393</v>
      </c>
      <c r="J18" s="13" t="s">
        <v>372</v>
      </c>
      <c r="K18" s="13" t="s">
        <v>355</v>
      </c>
      <c r="L18" s="13" t="s">
        <v>355</v>
      </c>
      <c r="M18" s="13" t="s">
        <v>356</v>
      </c>
      <c r="N18" s="9"/>
    </row>
    <row r="19" ht="39" spans="1:14">
      <c r="A19" s="13"/>
      <c r="B19" s="5" t="s">
        <v>373</v>
      </c>
      <c r="C19" s="6" t="s">
        <v>425</v>
      </c>
      <c r="D19" s="6" t="s">
        <v>426</v>
      </c>
      <c r="E19" s="7"/>
      <c r="F19" s="7"/>
      <c r="G19" s="13"/>
      <c r="H19" s="13"/>
      <c r="I19" s="13"/>
      <c r="J19" s="13"/>
      <c r="K19" s="13"/>
      <c r="L19" s="13"/>
      <c r="M19" s="13"/>
      <c r="N19" s="9" t="s">
        <v>376</v>
      </c>
    </row>
    <row r="20" ht="26" spans="1:14">
      <c r="A20" s="13"/>
      <c r="B20" s="5" t="s">
        <v>346</v>
      </c>
      <c r="C20" s="6" t="s">
        <v>427</v>
      </c>
      <c r="D20" s="6" t="s">
        <v>428</v>
      </c>
      <c r="E20" s="7"/>
      <c r="F20" s="7"/>
      <c r="G20" s="13"/>
      <c r="H20" s="13"/>
      <c r="I20" s="13"/>
      <c r="J20" s="13"/>
      <c r="K20" s="13"/>
      <c r="L20" s="13"/>
      <c r="M20" s="13"/>
      <c r="N20" s="9"/>
    </row>
    <row r="21" ht="26" spans="1:14">
      <c r="A21" s="13"/>
      <c r="B21" s="5" t="s">
        <v>396</v>
      </c>
      <c r="C21" s="6" t="s">
        <v>429</v>
      </c>
      <c r="D21" s="6" t="s">
        <v>430</v>
      </c>
      <c r="E21" s="85"/>
      <c r="F21" s="7"/>
      <c r="G21" s="13"/>
      <c r="H21" s="13"/>
      <c r="I21" s="13"/>
      <c r="J21" s="13"/>
      <c r="K21" s="13"/>
      <c r="L21" s="13"/>
      <c r="M21" s="13"/>
      <c r="N21" s="9"/>
    </row>
    <row r="22" ht="104" spans="1:14">
      <c r="A22" s="5" t="s">
        <v>431</v>
      </c>
      <c r="B22" s="5" t="s">
        <v>346</v>
      </c>
      <c r="C22" s="6" t="s">
        <v>432</v>
      </c>
      <c r="D22" s="6" t="s">
        <v>433</v>
      </c>
      <c r="E22" s="14" t="s">
        <v>434</v>
      </c>
      <c r="F22" s="9" t="s">
        <v>435</v>
      </c>
      <c r="G22" s="119" t="s">
        <v>436</v>
      </c>
      <c r="H22" s="119" t="s">
        <v>352</v>
      </c>
      <c r="I22" s="119" t="s">
        <v>437</v>
      </c>
      <c r="J22" s="120" t="s">
        <v>372</v>
      </c>
      <c r="K22" s="119" t="s">
        <v>355</v>
      </c>
      <c r="L22" s="119" t="s">
        <v>355</v>
      </c>
      <c r="M22" s="119" t="s">
        <v>356</v>
      </c>
      <c r="N22" s="5"/>
    </row>
    <row r="23" ht="39" spans="1:14">
      <c r="A23" s="5"/>
      <c r="B23" s="5" t="s">
        <v>346</v>
      </c>
      <c r="C23" s="6" t="s">
        <v>438</v>
      </c>
      <c r="D23" s="6" t="s">
        <v>439</v>
      </c>
      <c r="E23" s="14" t="s">
        <v>440</v>
      </c>
      <c r="F23" s="9" t="s">
        <v>441</v>
      </c>
      <c r="G23" s="119" t="s">
        <v>436</v>
      </c>
      <c r="H23" s="119" t="s">
        <v>352</v>
      </c>
      <c r="I23" s="119" t="s">
        <v>437</v>
      </c>
      <c r="J23" s="120" t="s">
        <v>363</v>
      </c>
      <c r="K23" s="119" t="s">
        <v>355</v>
      </c>
      <c r="L23" s="119" t="s">
        <v>355</v>
      </c>
      <c r="M23" s="119" t="s">
        <v>356</v>
      </c>
      <c r="N23" s="5"/>
    </row>
    <row r="24" ht="39" spans="1:14">
      <c r="A24" s="5"/>
      <c r="B24" s="5" t="s">
        <v>373</v>
      </c>
      <c r="C24" s="6" t="s">
        <v>442</v>
      </c>
      <c r="D24" s="6" t="s">
        <v>443</v>
      </c>
      <c r="E24" s="14" t="s">
        <v>444</v>
      </c>
      <c r="F24" s="9" t="s">
        <v>445</v>
      </c>
      <c r="G24" s="119" t="s">
        <v>436</v>
      </c>
      <c r="H24" s="119" t="s">
        <v>352</v>
      </c>
      <c r="I24" s="119" t="s">
        <v>437</v>
      </c>
      <c r="J24" s="120" t="s">
        <v>363</v>
      </c>
      <c r="K24" s="119" t="s">
        <v>355</v>
      </c>
      <c r="L24" s="119" t="s">
        <v>355</v>
      </c>
      <c r="M24" s="119" t="s">
        <v>356</v>
      </c>
      <c r="N24" s="13" t="s">
        <v>446</v>
      </c>
    </row>
    <row r="25" ht="84" customHeight="1" spans="1:14">
      <c r="A25" s="5"/>
      <c r="B25" s="108" t="s">
        <v>346</v>
      </c>
      <c r="C25" s="109" t="s">
        <v>447</v>
      </c>
      <c r="D25" s="109" t="s">
        <v>448</v>
      </c>
      <c r="E25" s="123" t="s">
        <v>449</v>
      </c>
      <c r="F25" s="104" t="s">
        <v>450</v>
      </c>
      <c r="G25" s="119" t="s">
        <v>436</v>
      </c>
      <c r="H25" s="119" t="s">
        <v>352</v>
      </c>
      <c r="I25" s="119" t="s">
        <v>437</v>
      </c>
      <c r="J25" s="120" t="s">
        <v>363</v>
      </c>
      <c r="K25" s="119" t="s">
        <v>355</v>
      </c>
      <c r="L25" s="119" t="s">
        <v>355</v>
      </c>
      <c r="M25" s="119" t="s">
        <v>356</v>
      </c>
      <c r="N25" s="13" t="s">
        <v>451</v>
      </c>
    </row>
    <row r="26" ht="78" spans="1:14">
      <c r="A26" s="5" t="s">
        <v>452</v>
      </c>
      <c r="B26" s="5" t="s">
        <v>346</v>
      </c>
      <c r="C26" s="6" t="s">
        <v>453</v>
      </c>
      <c r="D26" s="6" t="s">
        <v>454</v>
      </c>
      <c r="E26" s="9" t="s">
        <v>455</v>
      </c>
      <c r="F26" s="14" t="s">
        <v>456</v>
      </c>
      <c r="G26" s="5" t="s">
        <v>457</v>
      </c>
      <c r="H26" s="5" t="s">
        <v>370</v>
      </c>
      <c r="I26" s="5" t="s">
        <v>437</v>
      </c>
      <c r="J26" s="13" t="s">
        <v>372</v>
      </c>
      <c r="K26" s="5" t="s">
        <v>355</v>
      </c>
      <c r="L26" s="5" t="s">
        <v>355</v>
      </c>
      <c r="M26" s="5" t="s">
        <v>356</v>
      </c>
      <c r="N26" s="5"/>
    </row>
    <row r="27" ht="78" spans="1:14">
      <c r="A27" s="5" t="s">
        <v>458</v>
      </c>
      <c r="B27" s="5" t="s">
        <v>346</v>
      </c>
      <c r="C27" s="6" t="s">
        <v>459</v>
      </c>
      <c r="D27" s="6" t="s">
        <v>460</v>
      </c>
      <c r="E27" s="9" t="s">
        <v>461</v>
      </c>
      <c r="F27" s="14" t="s">
        <v>456</v>
      </c>
      <c r="G27" s="5" t="s">
        <v>457</v>
      </c>
      <c r="H27" s="5" t="s">
        <v>462</v>
      </c>
      <c r="I27" s="5" t="s">
        <v>437</v>
      </c>
      <c r="J27" s="13" t="s">
        <v>372</v>
      </c>
      <c r="K27" s="5" t="s">
        <v>355</v>
      </c>
      <c r="L27" s="5" t="s">
        <v>355</v>
      </c>
      <c r="M27" s="5" t="s">
        <v>356</v>
      </c>
      <c r="N27" s="9"/>
    </row>
    <row r="28" ht="36" customHeight="1" spans="1:14">
      <c r="A28" s="5" t="s">
        <v>463</v>
      </c>
      <c r="B28" s="13" t="s">
        <v>464</v>
      </c>
      <c r="C28" s="9" t="s">
        <v>465</v>
      </c>
      <c r="D28" s="7" t="s">
        <v>466</v>
      </c>
      <c r="E28" s="7" t="s">
        <v>467</v>
      </c>
      <c r="F28" s="7" t="s">
        <v>456</v>
      </c>
      <c r="G28" s="120" t="s">
        <v>457</v>
      </c>
      <c r="H28" s="124" t="s">
        <v>370</v>
      </c>
      <c r="I28" s="120" t="s">
        <v>371</v>
      </c>
      <c r="J28" s="120" t="s">
        <v>372</v>
      </c>
      <c r="K28" s="120" t="s">
        <v>355</v>
      </c>
      <c r="L28" s="120" t="s">
        <v>355</v>
      </c>
      <c r="M28" s="120" t="s">
        <v>356</v>
      </c>
      <c r="N28" s="19" t="s">
        <v>468</v>
      </c>
    </row>
    <row r="29" ht="36" customHeight="1" spans="1:14">
      <c r="A29" s="5"/>
      <c r="B29" s="13" t="s">
        <v>464</v>
      </c>
      <c r="C29" s="9" t="s">
        <v>469</v>
      </c>
      <c r="D29" s="7" t="s">
        <v>470</v>
      </c>
      <c r="E29" s="7"/>
      <c r="F29" s="7" t="s">
        <v>456</v>
      </c>
      <c r="G29" s="120" t="s">
        <v>457</v>
      </c>
      <c r="H29" s="124" t="s">
        <v>370</v>
      </c>
      <c r="I29" s="120" t="s">
        <v>371</v>
      </c>
      <c r="J29" s="120" t="s">
        <v>363</v>
      </c>
      <c r="K29" s="120" t="s">
        <v>355</v>
      </c>
      <c r="L29" s="120" t="s">
        <v>355</v>
      </c>
      <c r="M29" s="120" t="s">
        <v>356</v>
      </c>
      <c r="N29" s="59"/>
    </row>
    <row r="30" ht="36" customHeight="1" spans="1:14">
      <c r="A30" s="5"/>
      <c r="B30" s="13" t="s">
        <v>373</v>
      </c>
      <c r="C30" s="9" t="s">
        <v>471</v>
      </c>
      <c r="D30" s="7" t="s">
        <v>472</v>
      </c>
      <c r="E30" s="7"/>
      <c r="F30" s="7" t="s">
        <v>456</v>
      </c>
      <c r="G30" s="120" t="s">
        <v>457</v>
      </c>
      <c r="H30" s="124" t="s">
        <v>370</v>
      </c>
      <c r="I30" s="120" t="s">
        <v>371</v>
      </c>
      <c r="J30" s="120" t="s">
        <v>363</v>
      </c>
      <c r="K30" s="120" t="s">
        <v>355</v>
      </c>
      <c r="L30" s="120" t="s">
        <v>355</v>
      </c>
      <c r="M30" s="120" t="s">
        <v>356</v>
      </c>
      <c r="N30" s="9" t="s">
        <v>473</v>
      </c>
    </row>
    <row r="31" ht="39" spans="1:14">
      <c r="A31" s="5" t="s">
        <v>474</v>
      </c>
      <c r="B31" s="20" t="s">
        <v>373</v>
      </c>
      <c r="C31" s="125" t="s">
        <v>475</v>
      </c>
      <c r="D31" s="7" t="s">
        <v>476</v>
      </c>
      <c r="E31" s="9" t="s">
        <v>477</v>
      </c>
      <c r="F31" s="85" t="s">
        <v>456</v>
      </c>
      <c r="G31" s="20" t="s">
        <v>369</v>
      </c>
      <c r="H31" s="20" t="s">
        <v>370</v>
      </c>
      <c r="I31" s="20" t="s">
        <v>478</v>
      </c>
      <c r="J31" s="15" t="s">
        <v>372</v>
      </c>
      <c r="K31" s="20" t="s">
        <v>355</v>
      </c>
      <c r="L31" s="20" t="s">
        <v>355</v>
      </c>
      <c r="M31" s="20" t="s">
        <v>356</v>
      </c>
      <c r="N31" s="126" t="s">
        <v>479</v>
      </c>
    </row>
    <row r="32" ht="65" spans="1:14">
      <c r="A32" s="13" t="s">
        <v>480</v>
      </c>
      <c r="B32" s="13" t="s">
        <v>346</v>
      </c>
      <c r="C32" s="9" t="s">
        <v>481</v>
      </c>
      <c r="D32" s="9" t="s">
        <v>482</v>
      </c>
      <c r="E32" s="9" t="s">
        <v>483</v>
      </c>
      <c r="F32" s="9" t="s">
        <v>484</v>
      </c>
      <c r="G32" s="5" t="s">
        <v>369</v>
      </c>
      <c r="H32" s="5" t="s">
        <v>370</v>
      </c>
      <c r="I32" s="5" t="s">
        <v>371</v>
      </c>
      <c r="J32" s="13" t="s">
        <v>372</v>
      </c>
      <c r="K32" s="5" t="s">
        <v>355</v>
      </c>
      <c r="L32" s="5" t="s">
        <v>355</v>
      </c>
      <c r="M32" s="5" t="s">
        <v>356</v>
      </c>
      <c r="N32" s="5"/>
    </row>
    <row r="33" ht="65" spans="1:14">
      <c r="A33" s="13" t="s">
        <v>485</v>
      </c>
      <c r="B33" s="13" t="s">
        <v>346</v>
      </c>
      <c r="C33" s="9" t="s">
        <v>486</v>
      </c>
      <c r="D33" s="9" t="s">
        <v>487</v>
      </c>
      <c r="E33" s="9" t="s">
        <v>488</v>
      </c>
      <c r="F33" s="9" t="s">
        <v>489</v>
      </c>
      <c r="G33" s="5" t="s">
        <v>369</v>
      </c>
      <c r="H33" s="5" t="s">
        <v>352</v>
      </c>
      <c r="I33" s="5" t="s">
        <v>371</v>
      </c>
      <c r="J33" s="13" t="s">
        <v>372</v>
      </c>
      <c r="K33" s="5" t="s">
        <v>355</v>
      </c>
      <c r="L33" s="5" t="s">
        <v>355</v>
      </c>
      <c r="M33" s="5" t="s">
        <v>356</v>
      </c>
      <c r="N33" s="5"/>
    </row>
    <row r="34" ht="39" spans="1:14">
      <c r="A34" s="5" t="s">
        <v>490</v>
      </c>
      <c r="B34" s="20" t="s">
        <v>373</v>
      </c>
      <c r="C34" s="125" t="s">
        <v>491</v>
      </c>
      <c r="D34" s="7" t="s">
        <v>492</v>
      </c>
      <c r="E34" s="9" t="s">
        <v>493</v>
      </c>
      <c r="F34" s="85" t="s">
        <v>456</v>
      </c>
      <c r="G34" s="20" t="s">
        <v>369</v>
      </c>
      <c r="H34" s="20" t="s">
        <v>370</v>
      </c>
      <c r="I34" s="20" t="s">
        <v>478</v>
      </c>
      <c r="J34" s="15" t="s">
        <v>363</v>
      </c>
      <c r="K34" s="20" t="s">
        <v>355</v>
      </c>
      <c r="L34" s="20" t="s">
        <v>355</v>
      </c>
      <c r="M34" s="20" t="s">
        <v>356</v>
      </c>
      <c r="N34" s="126" t="s">
        <v>479</v>
      </c>
    </row>
    <row r="35" ht="29.25" customHeight="1" spans="1:14">
      <c r="A35" s="13" t="s">
        <v>494</v>
      </c>
      <c r="B35" s="5" t="s">
        <v>387</v>
      </c>
      <c r="C35" s="6" t="s">
        <v>495</v>
      </c>
      <c r="D35" s="6" t="s">
        <v>496</v>
      </c>
      <c r="E35" s="7" t="s">
        <v>497</v>
      </c>
      <c r="F35" s="7" t="s">
        <v>498</v>
      </c>
      <c r="G35" s="120" t="s">
        <v>392</v>
      </c>
      <c r="H35" s="120" t="s">
        <v>352</v>
      </c>
      <c r="I35" s="120" t="s">
        <v>393</v>
      </c>
      <c r="J35" s="120" t="s">
        <v>363</v>
      </c>
      <c r="K35" s="120" t="s">
        <v>355</v>
      </c>
      <c r="L35" s="120" t="s">
        <v>355</v>
      </c>
      <c r="M35" s="120" t="s">
        <v>356</v>
      </c>
      <c r="N35" s="13"/>
    </row>
    <row r="36" ht="33.75" customHeight="1" spans="1:14">
      <c r="A36" s="13"/>
      <c r="B36" s="5" t="s">
        <v>396</v>
      </c>
      <c r="C36" s="6" t="s">
        <v>499</v>
      </c>
      <c r="D36" s="6" t="s">
        <v>500</v>
      </c>
      <c r="E36" s="7"/>
      <c r="F36" s="7"/>
      <c r="G36" s="120" t="s">
        <v>392</v>
      </c>
      <c r="H36" s="120" t="s">
        <v>352</v>
      </c>
      <c r="I36" s="120" t="s">
        <v>393</v>
      </c>
      <c r="J36" s="120" t="s">
        <v>363</v>
      </c>
      <c r="K36" s="120" t="s">
        <v>355</v>
      </c>
      <c r="L36" s="120" t="s">
        <v>355</v>
      </c>
      <c r="M36" s="120" t="s">
        <v>356</v>
      </c>
      <c r="N36" s="13"/>
    </row>
    <row r="37" ht="39" spans="1:14">
      <c r="A37" s="5" t="s">
        <v>501</v>
      </c>
      <c r="B37" s="13" t="s">
        <v>464</v>
      </c>
      <c r="C37" s="9" t="s">
        <v>502</v>
      </c>
      <c r="D37" s="7" t="s">
        <v>503</v>
      </c>
      <c r="E37" s="7" t="s">
        <v>504</v>
      </c>
      <c r="F37" s="7" t="s">
        <v>456</v>
      </c>
      <c r="G37" s="13" t="s">
        <v>457</v>
      </c>
      <c r="H37" s="13" t="s">
        <v>370</v>
      </c>
      <c r="I37" s="13" t="s">
        <v>371</v>
      </c>
      <c r="J37" s="13" t="s">
        <v>372</v>
      </c>
      <c r="K37" s="13" t="s">
        <v>355</v>
      </c>
      <c r="L37" s="13" t="s">
        <v>355</v>
      </c>
      <c r="M37" s="13" t="s">
        <v>356</v>
      </c>
      <c r="N37" s="13" t="s">
        <v>468</v>
      </c>
    </row>
    <row r="38" ht="39" spans="1:14">
      <c r="A38" s="5" t="s">
        <v>505</v>
      </c>
      <c r="B38" s="5" t="s">
        <v>464</v>
      </c>
      <c r="C38" s="9" t="s">
        <v>506</v>
      </c>
      <c r="D38" s="7" t="s">
        <v>507</v>
      </c>
      <c r="E38" s="7" t="s">
        <v>508</v>
      </c>
      <c r="F38" s="7" t="s">
        <v>456</v>
      </c>
      <c r="G38" s="120" t="s">
        <v>457</v>
      </c>
      <c r="H38" s="120" t="s">
        <v>370</v>
      </c>
      <c r="I38" s="120" t="s">
        <v>371</v>
      </c>
      <c r="J38" s="120" t="s">
        <v>372</v>
      </c>
      <c r="K38" s="120" t="s">
        <v>355</v>
      </c>
      <c r="L38" s="120" t="s">
        <v>355</v>
      </c>
      <c r="M38" s="120" t="s">
        <v>356</v>
      </c>
      <c r="N38" s="19" t="s">
        <v>468</v>
      </c>
    </row>
    <row r="39" ht="39" spans="1:14">
      <c r="A39" s="5"/>
      <c r="B39" s="5" t="s">
        <v>464</v>
      </c>
      <c r="C39" s="9" t="s">
        <v>509</v>
      </c>
      <c r="D39" s="7" t="s">
        <v>510</v>
      </c>
      <c r="E39" s="7" t="s">
        <v>511</v>
      </c>
      <c r="F39" s="7" t="s">
        <v>456</v>
      </c>
      <c r="G39" s="120" t="s">
        <v>457</v>
      </c>
      <c r="H39" s="120" t="s">
        <v>370</v>
      </c>
      <c r="I39" s="120" t="s">
        <v>371</v>
      </c>
      <c r="J39" s="120" t="s">
        <v>363</v>
      </c>
      <c r="K39" s="120" t="s">
        <v>355</v>
      </c>
      <c r="L39" s="120" t="s">
        <v>355</v>
      </c>
      <c r="M39" s="120" t="s">
        <v>356</v>
      </c>
      <c r="N39" s="59"/>
    </row>
    <row r="40" ht="39" spans="1:14">
      <c r="A40" s="5"/>
      <c r="B40" s="5" t="s">
        <v>373</v>
      </c>
      <c r="C40" s="9" t="s">
        <v>512</v>
      </c>
      <c r="D40" s="7" t="s">
        <v>513</v>
      </c>
      <c r="E40" s="7" t="s">
        <v>511</v>
      </c>
      <c r="F40" s="7" t="s">
        <v>456</v>
      </c>
      <c r="G40" s="120" t="s">
        <v>457</v>
      </c>
      <c r="H40" s="120" t="s">
        <v>370</v>
      </c>
      <c r="I40" s="120" t="s">
        <v>371</v>
      </c>
      <c r="J40" s="120" t="s">
        <v>363</v>
      </c>
      <c r="K40" s="120" t="s">
        <v>355</v>
      </c>
      <c r="L40" s="120" t="s">
        <v>355</v>
      </c>
      <c r="M40" s="120" t="s">
        <v>356</v>
      </c>
      <c r="N40" s="9" t="s">
        <v>473</v>
      </c>
    </row>
    <row r="41" ht="39" spans="1:14">
      <c r="A41" s="5" t="s">
        <v>514</v>
      </c>
      <c r="B41" s="5" t="s">
        <v>464</v>
      </c>
      <c r="C41" s="9" t="s">
        <v>515</v>
      </c>
      <c r="D41" s="7" t="s">
        <v>516</v>
      </c>
      <c r="E41" s="7" t="s">
        <v>517</v>
      </c>
      <c r="F41" s="7" t="s">
        <v>456</v>
      </c>
      <c r="G41" s="13" t="s">
        <v>457</v>
      </c>
      <c r="H41" s="13" t="s">
        <v>370</v>
      </c>
      <c r="I41" s="13" t="s">
        <v>371</v>
      </c>
      <c r="J41" s="13" t="s">
        <v>372</v>
      </c>
      <c r="K41" s="13" t="s">
        <v>355</v>
      </c>
      <c r="L41" s="13" t="s">
        <v>355</v>
      </c>
      <c r="M41" s="13" t="s">
        <v>356</v>
      </c>
      <c r="N41" s="13" t="s">
        <v>468</v>
      </c>
    </row>
    <row r="42" ht="182" spans="1:14">
      <c r="A42" s="5" t="s">
        <v>518</v>
      </c>
      <c r="B42" s="5" t="s">
        <v>373</v>
      </c>
      <c r="C42" s="85" t="s">
        <v>519</v>
      </c>
      <c r="D42" s="7" t="s">
        <v>520</v>
      </c>
      <c r="E42" s="7" t="s">
        <v>521</v>
      </c>
      <c r="F42" s="7" t="s">
        <v>522</v>
      </c>
      <c r="G42" s="5" t="s">
        <v>457</v>
      </c>
      <c r="H42" s="5" t="s">
        <v>370</v>
      </c>
      <c r="I42" s="5" t="s">
        <v>478</v>
      </c>
      <c r="J42" s="13" t="s">
        <v>363</v>
      </c>
      <c r="K42" s="5" t="s">
        <v>523</v>
      </c>
      <c r="L42" s="5" t="s">
        <v>523</v>
      </c>
      <c r="M42" s="5" t="s">
        <v>356</v>
      </c>
      <c r="N42" s="13" t="s">
        <v>524</v>
      </c>
    </row>
    <row r="43" ht="182" spans="1:14">
      <c r="A43" s="5" t="s">
        <v>525</v>
      </c>
      <c r="B43" s="5" t="s">
        <v>373</v>
      </c>
      <c r="C43" s="85" t="s">
        <v>526</v>
      </c>
      <c r="D43" s="7" t="s">
        <v>527</v>
      </c>
      <c r="E43" s="7" t="s">
        <v>528</v>
      </c>
      <c r="F43" s="7" t="s">
        <v>529</v>
      </c>
      <c r="G43" s="5" t="s">
        <v>457</v>
      </c>
      <c r="H43" s="5" t="s">
        <v>462</v>
      </c>
      <c r="I43" s="5" t="s">
        <v>478</v>
      </c>
      <c r="J43" s="13" t="s">
        <v>363</v>
      </c>
      <c r="K43" s="5" t="s">
        <v>523</v>
      </c>
      <c r="L43" s="5" t="s">
        <v>523</v>
      </c>
      <c r="M43" s="5" t="s">
        <v>356</v>
      </c>
      <c r="N43" s="13" t="s">
        <v>524</v>
      </c>
    </row>
  </sheetData>
  <autoFilter ref="A1:N43">
    <extLst/>
  </autoFilter>
  <mergeCells count="73">
    <mergeCell ref="A4:A5"/>
    <mergeCell ref="A6:A8"/>
    <mergeCell ref="A9:A11"/>
    <mergeCell ref="A12:A14"/>
    <mergeCell ref="A15:A17"/>
    <mergeCell ref="A18:A21"/>
    <mergeCell ref="A22:A25"/>
    <mergeCell ref="A28:A30"/>
    <mergeCell ref="A35:A36"/>
    <mergeCell ref="A38:A40"/>
    <mergeCell ref="E4:E5"/>
    <mergeCell ref="E6:E8"/>
    <mergeCell ref="E9:E11"/>
    <mergeCell ref="E12:E14"/>
    <mergeCell ref="E15:E17"/>
    <mergeCell ref="E18:E21"/>
    <mergeCell ref="E28:E30"/>
    <mergeCell ref="E35:E36"/>
    <mergeCell ref="E38:E40"/>
    <mergeCell ref="F4:F5"/>
    <mergeCell ref="F6:F8"/>
    <mergeCell ref="F9:F11"/>
    <mergeCell ref="F12:F14"/>
    <mergeCell ref="F15:F17"/>
    <mergeCell ref="F18:F21"/>
    <mergeCell ref="F28:F30"/>
    <mergeCell ref="F35:F36"/>
    <mergeCell ref="F38:F40"/>
    <mergeCell ref="G4:G5"/>
    <mergeCell ref="G6:G8"/>
    <mergeCell ref="G9:G11"/>
    <mergeCell ref="G12:G14"/>
    <mergeCell ref="G15:G17"/>
    <mergeCell ref="G18:G21"/>
    <mergeCell ref="H4:H5"/>
    <mergeCell ref="H6:H8"/>
    <mergeCell ref="H9:H11"/>
    <mergeCell ref="H12:H14"/>
    <mergeCell ref="H15:H17"/>
    <mergeCell ref="H18:H21"/>
    <mergeCell ref="I4:I5"/>
    <mergeCell ref="I6:I8"/>
    <mergeCell ref="I9:I11"/>
    <mergeCell ref="I12:I14"/>
    <mergeCell ref="I15:I17"/>
    <mergeCell ref="I18:I21"/>
    <mergeCell ref="J4:J5"/>
    <mergeCell ref="J6:J8"/>
    <mergeCell ref="J9:J11"/>
    <mergeCell ref="J12:J14"/>
    <mergeCell ref="J15:J17"/>
    <mergeCell ref="J18:J21"/>
    <mergeCell ref="K4:K5"/>
    <mergeCell ref="K6:K8"/>
    <mergeCell ref="K9:K11"/>
    <mergeCell ref="K12:K14"/>
    <mergeCell ref="K15:K17"/>
    <mergeCell ref="K18:K21"/>
    <mergeCell ref="L4:L5"/>
    <mergeCell ref="L6:L8"/>
    <mergeCell ref="L9:L11"/>
    <mergeCell ref="L12:L14"/>
    <mergeCell ref="L15:L17"/>
    <mergeCell ref="L18:L21"/>
    <mergeCell ref="M4:M5"/>
    <mergeCell ref="M6:M8"/>
    <mergeCell ref="M9:M11"/>
    <mergeCell ref="M12:M14"/>
    <mergeCell ref="M15:M17"/>
    <mergeCell ref="M18:M21"/>
    <mergeCell ref="N28:N29"/>
    <mergeCell ref="N35:N36"/>
    <mergeCell ref="N38:N39"/>
  </mergeCells>
  <pageMargins left="0.75" right="0.75" top="1" bottom="1" header="0.5" footer="0.5"/>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N67"/>
  <sheetViews>
    <sheetView topLeftCell="B4" workbookViewId="0">
      <selection activeCell="C4" sqref="A1:N67"/>
    </sheetView>
  </sheetViews>
  <sheetFormatPr defaultColWidth="9" defaultRowHeight="13"/>
  <cols>
    <col min="1" max="2" width="9" style="1"/>
    <col min="3" max="3" width="32.64" style="1" customWidth="1"/>
    <col min="4" max="4" width="33" style="1" customWidth="1"/>
    <col min="5" max="5" width="25.64" style="1" customWidth="1"/>
    <col min="6" max="6" width="38.64" style="1" customWidth="1"/>
    <col min="7" max="7" width="15.79" style="1" customWidth="1"/>
    <col min="8" max="8" width="8.79" style="1" customWidth="1"/>
    <col min="9" max="9" width="13.43" style="1" customWidth="1"/>
    <col min="10" max="10" width="10.21" style="1" customWidth="1"/>
    <col min="11" max="11" width="12.57" style="1" customWidth="1"/>
    <col min="12" max="12" width="11.36" style="1" customWidth="1"/>
    <col min="13" max="13" width="14.21" style="1" customWidth="1"/>
    <col min="14" max="14" width="31.14" style="122" customWidth="1"/>
    <col min="15" max="16384" width="9" style="1"/>
  </cols>
  <sheetData>
    <row r="1" spans="1:14">
      <c r="A1" s="4" t="s">
        <v>332</v>
      </c>
      <c r="B1" s="4" t="s">
        <v>333</v>
      </c>
      <c r="C1" s="4" t="s">
        <v>334</v>
      </c>
      <c r="D1" s="4" t="s">
        <v>335</v>
      </c>
      <c r="E1" s="4" t="s">
        <v>336</v>
      </c>
      <c r="F1" s="4" t="s">
        <v>337</v>
      </c>
      <c r="G1" s="4" t="s">
        <v>338</v>
      </c>
      <c r="H1" s="4" t="s">
        <v>339</v>
      </c>
      <c r="I1" s="4" t="s">
        <v>340</v>
      </c>
      <c r="J1" s="4" t="s">
        <v>341</v>
      </c>
      <c r="K1" s="4" t="s">
        <v>342</v>
      </c>
      <c r="L1" s="4" t="s">
        <v>343</v>
      </c>
      <c r="M1" s="4" t="s">
        <v>344</v>
      </c>
      <c r="N1" s="4" t="s">
        <v>235</v>
      </c>
    </row>
    <row r="2" spans="1:14">
      <c r="A2" s="5" t="s">
        <v>530</v>
      </c>
      <c r="B2" s="5" t="s">
        <v>346</v>
      </c>
      <c r="C2" s="6" t="s">
        <v>531</v>
      </c>
      <c r="D2" s="6" t="s">
        <v>532</v>
      </c>
      <c r="E2" s="7" t="s">
        <v>533</v>
      </c>
      <c r="F2" s="7" t="s">
        <v>534</v>
      </c>
      <c r="G2" s="5" t="s">
        <v>369</v>
      </c>
      <c r="H2" s="5" t="s">
        <v>535</v>
      </c>
      <c r="I2" s="5" t="s">
        <v>371</v>
      </c>
      <c r="J2" s="13" t="s">
        <v>354</v>
      </c>
      <c r="K2" s="5" t="s">
        <v>355</v>
      </c>
      <c r="L2" s="5" t="s">
        <v>355</v>
      </c>
      <c r="M2" s="5" t="s">
        <v>356</v>
      </c>
      <c r="N2" s="5"/>
    </row>
    <row r="3" ht="26" spans="1:14">
      <c r="A3" s="5"/>
      <c r="B3" s="5" t="s">
        <v>373</v>
      </c>
      <c r="C3" s="6" t="s">
        <v>536</v>
      </c>
      <c r="D3" s="6" t="s">
        <v>537</v>
      </c>
      <c r="E3" s="7"/>
      <c r="F3" s="7"/>
      <c r="G3" s="5"/>
      <c r="H3" s="5"/>
      <c r="I3" s="5"/>
      <c r="J3" s="13"/>
      <c r="K3" s="5"/>
      <c r="L3" s="5"/>
      <c r="M3" s="5"/>
      <c r="N3" s="13" t="s">
        <v>376</v>
      </c>
    </row>
    <row r="4" spans="1:14">
      <c r="A4" s="5"/>
      <c r="B4" s="5" t="s">
        <v>346</v>
      </c>
      <c r="C4" s="6" t="s">
        <v>538</v>
      </c>
      <c r="D4" s="6" t="s">
        <v>539</v>
      </c>
      <c r="E4" s="7"/>
      <c r="F4" s="7"/>
      <c r="G4" s="5"/>
      <c r="H4" s="5"/>
      <c r="I4" s="5"/>
      <c r="J4" s="5"/>
      <c r="K4" s="5"/>
      <c r="L4" s="5"/>
      <c r="M4" s="5"/>
      <c r="N4" s="5" t="s">
        <v>540</v>
      </c>
    </row>
    <row r="5" ht="113.45" customHeight="1" spans="1:14">
      <c r="A5" s="5" t="s">
        <v>541</v>
      </c>
      <c r="B5" s="5" t="s">
        <v>346</v>
      </c>
      <c r="C5" s="6" t="s">
        <v>542</v>
      </c>
      <c r="D5" s="6" t="s">
        <v>543</v>
      </c>
      <c r="E5" s="6" t="s">
        <v>544</v>
      </c>
      <c r="F5" s="12" t="s">
        <v>545</v>
      </c>
      <c r="G5" s="5" t="s">
        <v>351</v>
      </c>
      <c r="H5" s="5" t="s">
        <v>352</v>
      </c>
      <c r="I5" s="5" t="s">
        <v>546</v>
      </c>
      <c r="J5" s="13" t="s">
        <v>363</v>
      </c>
      <c r="K5" s="5" t="s">
        <v>355</v>
      </c>
      <c r="L5" s="5" t="s">
        <v>355</v>
      </c>
      <c r="M5" s="5" t="s">
        <v>356</v>
      </c>
      <c r="N5" s="13" t="s">
        <v>547</v>
      </c>
    </row>
    <row r="6" ht="130" spans="1:14">
      <c r="A6" s="5" t="s">
        <v>548</v>
      </c>
      <c r="B6" s="5" t="s">
        <v>346</v>
      </c>
      <c r="C6" s="6" t="s">
        <v>549</v>
      </c>
      <c r="D6" s="6" t="s">
        <v>550</v>
      </c>
      <c r="E6" s="6" t="s">
        <v>551</v>
      </c>
      <c r="F6" s="12" t="s">
        <v>552</v>
      </c>
      <c r="G6" s="5" t="s">
        <v>351</v>
      </c>
      <c r="H6" s="5" t="s">
        <v>352</v>
      </c>
      <c r="I6" s="5" t="s">
        <v>546</v>
      </c>
      <c r="J6" s="13" t="s">
        <v>363</v>
      </c>
      <c r="K6" s="5" t="s">
        <v>355</v>
      </c>
      <c r="L6" s="5" t="s">
        <v>355</v>
      </c>
      <c r="M6" s="5" t="s">
        <v>356</v>
      </c>
      <c r="N6" s="5"/>
    </row>
    <row r="7" ht="38.85" customHeight="1" spans="1:14">
      <c r="A7" s="5" t="s">
        <v>553</v>
      </c>
      <c r="B7" s="5" t="s">
        <v>346</v>
      </c>
      <c r="C7" s="6" t="s">
        <v>554</v>
      </c>
      <c r="D7" s="6" t="s">
        <v>555</v>
      </c>
      <c r="E7" s="7" t="s">
        <v>556</v>
      </c>
      <c r="F7" s="7" t="s">
        <v>557</v>
      </c>
      <c r="G7" s="5" t="s">
        <v>392</v>
      </c>
      <c r="H7" s="5" t="s">
        <v>352</v>
      </c>
      <c r="I7" s="5" t="s">
        <v>371</v>
      </c>
      <c r="J7" s="13" t="s">
        <v>354</v>
      </c>
      <c r="K7" s="5" t="s">
        <v>355</v>
      </c>
      <c r="L7" s="5" t="s">
        <v>355</v>
      </c>
      <c r="M7" s="5" t="s">
        <v>356</v>
      </c>
      <c r="N7" s="9"/>
    </row>
    <row r="8" ht="26" customHeight="1" spans="1:14">
      <c r="A8" s="5"/>
      <c r="B8" s="5" t="s">
        <v>373</v>
      </c>
      <c r="C8" s="6" t="s">
        <v>558</v>
      </c>
      <c r="D8" s="6" t="s">
        <v>559</v>
      </c>
      <c r="E8" s="7"/>
      <c r="F8" s="7"/>
      <c r="G8" s="5"/>
      <c r="H8" s="5"/>
      <c r="I8" s="5"/>
      <c r="J8" s="13"/>
      <c r="K8" s="5"/>
      <c r="L8" s="5"/>
      <c r="M8" s="5"/>
      <c r="N8" s="9" t="s">
        <v>376</v>
      </c>
    </row>
    <row r="9" ht="47.45" customHeight="1" spans="1:14">
      <c r="A9" s="5"/>
      <c r="B9" s="5" t="s">
        <v>346</v>
      </c>
      <c r="C9" s="6" t="s">
        <v>560</v>
      </c>
      <c r="D9" s="6" t="s">
        <v>561</v>
      </c>
      <c r="E9" s="7"/>
      <c r="F9" s="7"/>
      <c r="G9" s="5"/>
      <c r="H9" s="5"/>
      <c r="I9" s="5"/>
      <c r="J9" s="5"/>
      <c r="K9" s="5"/>
      <c r="L9" s="5"/>
      <c r="M9" s="5"/>
      <c r="N9" s="13" t="s">
        <v>540</v>
      </c>
    </row>
    <row r="10" ht="36.6" customHeight="1" spans="1:14">
      <c r="A10" s="5" t="s">
        <v>562</v>
      </c>
      <c r="B10" s="5" t="s">
        <v>387</v>
      </c>
      <c r="C10" s="6" t="s">
        <v>563</v>
      </c>
      <c r="D10" s="6" t="s">
        <v>564</v>
      </c>
      <c r="E10" s="7" t="s">
        <v>565</v>
      </c>
      <c r="F10" s="7" t="s">
        <v>566</v>
      </c>
      <c r="G10" s="5" t="s">
        <v>392</v>
      </c>
      <c r="H10" s="5" t="s">
        <v>352</v>
      </c>
      <c r="I10" s="5" t="s">
        <v>371</v>
      </c>
      <c r="J10" s="13" t="s">
        <v>354</v>
      </c>
      <c r="K10" s="5" t="s">
        <v>355</v>
      </c>
      <c r="L10" s="5" t="s">
        <v>355</v>
      </c>
      <c r="M10" s="5" t="s">
        <v>567</v>
      </c>
      <c r="N10" s="5"/>
    </row>
    <row r="11" ht="48.95" customHeight="1" spans="1:14">
      <c r="A11" s="5"/>
      <c r="B11" s="5" t="s">
        <v>373</v>
      </c>
      <c r="C11" s="6" t="s">
        <v>568</v>
      </c>
      <c r="D11" s="6" t="s">
        <v>569</v>
      </c>
      <c r="E11" s="7"/>
      <c r="F11" s="7"/>
      <c r="G11" s="5"/>
      <c r="H11" s="5"/>
      <c r="I11" s="5"/>
      <c r="J11" s="13"/>
      <c r="K11" s="5"/>
      <c r="L11" s="5"/>
      <c r="M11" s="5"/>
      <c r="N11" s="13" t="s">
        <v>376</v>
      </c>
    </row>
    <row r="12" ht="48.95" customHeight="1" spans="1:14">
      <c r="A12" s="5"/>
      <c r="B12" s="5" t="s">
        <v>346</v>
      </c>
      <c r="C12" s="6" t="s">
        <v>570</v>
      </c>
      <c r="D12" s="6" t="s">
        <v>571</v>
      </c>
      <c r="E12" s="7"/>
      <c r="F12" s="7"/>
      <c r="G12" s="5"/>
      <c r="H12" s="5"/>
      <c r="I12" s="5"/>
      <c r="J12" s="5"/>
      <c r="K12" s="5"/>
      <c r="L12" s="5"/>
      <c r="M12" s="5"/>
      <c r="N12" s="5" t="s">
        <v>540</v>
      </c>
    </row>
    <row r="13" ht="40.7" customHeight="1" spans="1:14">
      <c r="A13" s="5" t="s">
        <v>572</v>
      </c>
      <c r="B13" s="5" t="s">
        <v>387</v>
      </c>
      <c r="C13" s="6" t="s">
        <v>573</v>
      </c>
      <c r="D13" s="6" t="s">
        <v>574</v>
      </c>
      <c r="E13" s="7" t="s">
        <v>575</v>
      </c>
      <c r="F13" s="7" t="s">
        <v>576</v>
      </c>
      <c r="G13" s="5" t="s">
        <v>392</v>
      </c>
      <c r="H13" s="5" t="s">
        <v>352</v>
      </c>
      <c r="I13" s="5" t="s">
        <v>371</v>
      </c>
      <c r="J13" s="13" t="s">
        <v>354</v>
      </c>
      <c r="K13" s="5" t="s">
        <v>355</v>
      </c>
      <c r="L13" s="5" t="s">
        <v>355</v>
      </c>
      <c r="M13" s="5" t="s">
        <v>567</v>
      </c>
      <c r="N13" s="5"/>
    </row>
    <row r="14" ht="56.25" customHeight="1" spans="1:14">
      <c r="A14" s="5"/>
      <c r="B14" s="5" t="s">
        <v>373</v>
      </c>
      <c r="C14" s="6" t="s">
        <v>577</v>
      </c>
      <c r="D14" s="6" t="s">
        <v>578</v>
      </c>
      <c r="E14" s="7"/>
      <c r="F14" s="7"/>
      <c r="G14" s="5"/>
      <c r="H14" s="5"/>
      <c r="I14" s="5"/>
      <c r="J14" s="13"/>
      <c r="K14" s="5"/>
      <c r="L14" s="5"/>
      <c r="M14" s="5"/>
      <c r="N14" s="13" t="s">
        <v>376</v>
      </c>
    </row>
    <row r="15" ht="56.25" customHeight="1" spans="1:14">
      <c r="A15" s="5"/>
      <c r="B15" s="5" t="s">
        <v>346</v>
      </c>
      <c r="C15" s="6" t="s">
        <v>579</v>
      </c>
      <c r="D15" s="6" t="s">
        <v>580</v>
      </c>
      <c r="E15" s="7"/>
      <c r="F15" s="7"/>
      <c r="G15" s="5"/>
      <c r="H15" s="5"/>
      <c r="I15" s="5"/>
      <c r="J15" s="5"/>
      <c r="K15" s="5"/>
      <c r="L15" s="5"/>
      <c r="M15" s="5"/>
      <c r="N15" s="5" t="s">
        <v>540</v>
      </c>
    </row>
    <row r="16" ht="56.25" customHeight="1" spans="1:14">
      <c r="A16" s="5"/>
      <c r="B16" s="5" t="s">
        <v>396</v>
      </c>
      <c r="C16" s="6" t="s">
        <v>581</v>
      </c>
      <c r="D16" s="6" t="s">
        <v>582</v>
      </c>
      <c r="E16" s="7"/>
      <c r="F16" s="7"/>
      <c r="G16" s="5"/>
      <c r="H16" s="5"/>
      <c r="I16" s="5"/>
      <c r="J16" s="5"/>
      <c r="K16" s="5"/>
      <c r="L16" s="5"/>
      <c r="M16" s="5"/>
      <c r="N16" s="5"/>
    </row>
    <row r="17" ht="42.95" customHeight="1" spans="1:14">
      <c r="A17" s="5" t="s">
        <v>583</v>
      </c>
      <c r="B17" s="5" t="s">
        <v>346</v>
      </c>
      <c r="C17" s="6" t="s">
        <v>584</v>
      </c>
      <c r="D17" s="6" t="s">
        <v>585</v>
      </c>
      <c r="E17" s="7" t="s">
        <v>586</v>
      </c>
      <c r="F17" s="7" t="s">
        <v>587</v>
      </c>
      <c r="G17" s="5" t="s">
        <v>392</v>
      </c>
      <c r="H17" s="5" t="s">
        <v>352</v>
      </c>
      <c r="I17" s="5" t="s">
        <v>371</v>
      </c>
      <c r="J17" s="13" t="s">
        <v>354</v>
      </c>
      <c r="K17" s="5" t="s">
        <v>355</v>
      </c>
      <c r="L17" s="5" t="s">
        <v>355</v>
      </c>
      <c r="M17" s="5" t="s">
        <v>356</v>
      </c>
      <c r="N17" s="13" t="s">
        <v>588</v>
      </c>
    </row>
    <row r="18" ht="42.95" customHeight="1" spans="1:14">
      <c r="A18" s="5"/>
      <c r="B18" s="5" t="s">
        <v>373</v>
      </c>
      <c r="C18" s="6" t="s">
        <v>589</v>
      </c>
      <c r="D18" s="6" t="s">
        <v>590</v>
      </c>
      <c r="E18" s="7"/>
      <c r="F18" s="7"/>
      <c r="G18" s="5"/>
      <c r="H18" s="5"/>
      <c r="I18" s="5"/>
      <c r="J18" s="13"/>
      <c r="K18" s="5"/>
      <c r="L18" s="5"/>
      <c r="M18" s="5"/>
      <c r="N18" s="13"/>
    </row>
    <row r="19" ht="42.95" customHeight="1" spans="1:14">
      <c r="A19" s="5"/>
      <c r="B19" s="5" t="s">
        <v>346</v>
      </c>
      <c r="C19" s="6" t="s">
        <v>591</v>
      </c>
      <c r="D19" s="6" t="s">
        <v>592</v>
      </c>
      <c r="E19" s="7"/>
      <c r="F19" s="7"/>
      <c r="G19" s="5"/>
      <c r="H19" s="5"/>
      <c r="I19" s="5"/>
      <c r="J19" s="5"/>
      <c r="K19" s="5"/>
      <c r="L19" s="5"/>
      <c r="M19" s="5"/>
      <c r="N19" s="13"/>
    </row>
    <row r="20" ht="42.95" customHeight="1" spans="1:14">
      <c r="A20" s="5"/>
      <c r="B20" s="5" t="s">
        <v>346</v>
      </c>
      <c r="C20" s="12" t="s">
        <v>593</v>
      </c>
      <c r="D20" s="6" t="s">
        <v>594</v>
      </c>
      <c r="E20" s="7"/>
      <c r="F20" s="7"/>
      <c r="G20" s="5"/>
      <c r="H20" s="5"/>
      <c r="I20" s="5"/>
      <c r="J20" s="5"/>
      <c r="K20" s="5"/>
      <c r="L20" s="5"/>
      <c r="M20" s="5"/>
      <c r="N20" s="13"/>
    </row>
    <row r="21" ht="42.95" customHeight="1" spans="1:14">
      <c r="A21" s="5"/>
      <c r="B21" s="5" t="s">
        <v>396</v>
      </c>
      <c r="C21" s="12" t="s">
        <v>595</v>
      </c>
      <c r="D21" s="6" t="s">
        <v>596</v>
      </c>
      <c r="E21" s="7"/>
      <c r="F21" s="7"/>
      <c r="G21" s="5"/>
      <c r="H21" s="5"/>
      <c r="I21" s="5"/>
      <c r="J21" s="5"/>
      <c r="K21" s="5"/>
      <c r="L21" s="5"/>
      <c r="M21" s="5"/>
      <c r="N21" s="13"/>
    </row>
    <row r="22" ht="41.45" customHeight="1" spans="1:14">
      <c r="A22" s="5"/>
      <c r="B22" s="5" t="s">
        <v>396</v>
      </c>
      <c r="C22" s="6" t="s">
        <v>597</v>
      </c>
      <c r="D22" s="6" t="s">
        <v>598</v>
      </c>
      <c r="E22" s="7"/>
      <c r="F22" s="7"/>
      <c r="G22" s="5"/>
      <c r="H22" s="5"/>
      <c r="I22" s="5"/>
      <c r="J22" s="5"/>
      <c r="K22" s="5"/>
      <c r="L22" s="5"/>
      <c r="M22" s="5"/>
      <c r="N22" s="13"/>
    </row>
    <row r="23" ht="41.45" customHeight="1" spans="1:14">
      <c r="A23" s="5"/>
      <c r="B23" s="5" t="s">
        <v>396</v>
      </c>
      <c r="C23" s="6" t="s">
        <v>599</v>
      </c>
      <c r="D23" s="6" t="s">
        <v>600</v>
      </c>
      <c r="E23" s="7"/>
      <c r="F23" s="7"/>
      <c r="G23" s="5"/>
      <c r="H23" s="5"/>
      <c r="I23" s="5"/>
      <c r="J23" s="5"/>
      <c r="K23" s="5"/>
      <c r="L23" s="5"/>
      <c r="M23" s="5"/>
      <c r="N23" s="13"/>
    </row>
    <row r="24" ht="25.25" customHeight="1" spans="1:14">
      <c r="A24" s="5" t="s">
        <v>601</v>
      </c>
      <c r="B24" s="5" t="s">
        <v>346</v>
      </c>
      <c r="C24" s="6" t="s">
        <v>602</v>
      </c>
      <c r="D24" s="6" t="s">
        <v>603</v>
      </c>
      <c r="E24" s="7" t="s">
        <v>604</v>
      </c>
      <c r="F24" s="7" t="s">
        <v>605</v>
      </c>
      <c r="G24" s="5" t="s">
        <v>392</v>
      </c>
      <c r="H24" s="5" t="s">
        <v>352</v>
      </c>
      <c r="I24" s="5" t="s">
        <v>371</v>
      </c>
      <c r="J24" s="13" t="s">
        <v>354</v>
      </c>
      <c r="K24" s="5" t="s">
        <v>355</v>
      </c>
      <c r="L24" s="5" t="s">
        <v>355</v>
      </c>
      <c r="M24" s="5" t="s">
        <v>567</v>
      </c>
      <c r="N24" s="5"/>
    </row>
    <row r="25" ht="30.6" customHeight="1" spans="1:14">
      <c r="A25" s="5"/>
      <c r="B25" s="5" t="s">
        <v>346</v>
      </c>
      <c r="C25" s="6" t="s">
        <v>606</v>
      </c>
      <c r="D25" s="6" t="s">
        <v>607</v>
      </c>
      <c r="E25" s="7"/>
      <c r="F25" s="7"/>
      <c r="G25" s="5"/>
      <c r="H25" s="5"/>
      <c r="I25" s="5"/>
      <c r="J25" s="5"/>
      <c r="K25" s="5"/>
      <c r="L25" s="5"/>
      <c r="M25" s="5"/>
      <c r="N25" s="5"/>
    </row>
    <row r="26" ht="24.5" customHeight="1" spans="1:14">
      <c r="A26" s="5" t="s">
        <v>608</v>
      </c>
      <c r="B26" s="5" t="s">
        <v>346</v>
      </c>
      <c r="C26" s="6" t="s">
        <v>609</v>
      </c>
      <c r="D26" s="6" t="s">
        <v>610</v>
      </c>
      <c r="E26" s="7" t="s">
        <v>611</v>
      </c>
      <c r="F26" s="7" t="s">
        <v>612</v>
      </c>
      <c r="G26" s="5" t="s">
        <v>392</v>
      </c>
      <c r="H26" s="5" t="s">
        <v>352</v>
      </c>
      <c r="I26" s="5" t="s">
        <v>371</v>
      </c>
      <c r="J26" s="13" t="s">
        <v>354</v>
      </c>
      <c r="K26" s="5" t="s">
        <v>355</v>
      </c>
      <c r="L26" s="5" t="s">
        <v>355</v>
      </c>
      <c r="M26" s="5" t="s">
        <v>567</v>
      </c>
      <c r="N26" s="5"/>
    </row>
    <row r="27" ht="28.5" customHeight="1" spans="1:14">
      <c r="A27" s="5"/>
      <c r="B27" s="5" t="s">
        <v>346</v>
      </c>
      <c r="C27" s="6" t="s">
        <v>613</v>
      </c>
      <c r="D27" s="6" t="s">
        <v>614</v>
      </c>
      <c r="E27" s="7"/>
      <c r="F27" s="7"/>
      <c r="G27" s="5"/>
      <c r="H27" s="5"/>
      <c r="I27" s="5"/>
      <c r="J27" s="5"/>
      <c r="K27" s="5"/>
      <c r="L27" s="5"/>
      <c r="M27" s="5"/>
      <c r="N27" s="5"/>
    </row>
    <row r="28" ht="22.5" customHeight="1" spans="1:14">
      <c r="A28" s="5" t="s">
        <v>615</v>
      </c>
      <c r="B28" s="5" t="s">
        <v>346</v>
      </c>
      <c r="C28" s="6" t="s">
        <v>616</v>
      </c>
      <c r="D28" s="6" t="s">
        <v>617</v>
      </c>
      <c r="E28" s="7" t="s">
        <v>618</v>
      </c>
      <c r="F28" s="7" t="s">
        <v>619</v>
      </c>
      <c r="G28" s="5" t="s">
        <v>392</v>
      </c>
      <c r="H28" s="5" t="s">
        <v>352</v>
      </c>
      <c r="I28" s="5" t="s">
        <v>371</v>
      </c>
      <c r="J28" s="13" t="s">
        <v>354</v>
      </c>
      <c r="K28" s="5" t="s">
        <v>355</v>
      </c>
      <c r="L28" s="5" t="s">
        <v>355</v>
      </c>
      <c r="M28" s="5" t="s">
        <v>567</v>
      </c>
      <c r="N28" s="5"/>
    </row>
    <row r="29" ht="27.95" customHeight="1" spans="1:14">
      <c r="A29" s="5"/>
      <c r="B29" s="5" t="s">
        <v>396</v>
      </c>
      <c r="C29" s="6" t="s">
        <v>620</v>
      </c>
      <c r="D29" s="6" t="s">
        <v>621</v>
      </c>
      <c r="E29" s="7"/>
      <c r="F29" s="7"/>
      <c r="G29" s="5"/>
      <c r="H29" s="5"/>
      <c r="I29" s="5"/>
      <c r="J29" s="5"/>
      <c r="K29" s="5"/>
      <c r="L29" s="5"/>
      <c r="M29" s="5"/>
      <c r="N29" s="5"/>
    </row>
    <row r="30" ht="41.45" customHeight="1" spans="1:14">
      <c r="A30" s="5" t="s">
        <v>622</v>
      </c>
      <c r="B30" s="5" t="s">
        <v>387</v>
      </c>
      <c r="C30" s="6" t="s">
        <v>623</v>
      </c>
      <c r="D30" s="6" t="s">
        <v>624</v>
      </c>
      <c r="E30" s="9" t="s">
        <v>625</v>
      </c>
      <c r="F30" s="7" t="s">
        <v>626</v>
      </c>
      <c r="G30" s="5" t="s">
        <v>392</v>
      </c>
      <c r="H30" s="5" t="s">
        <v>462</v>
      </c>
      <c r="I30" s="5" t="s">
        <v>371</v>
      </c>
      <c r="J30" s="13" t="s">
        <v>354</v>
      </c>
      <c r="K30" s="13" t="s">
        <v>523</v>
      </c>
      <c r="L30" s="13" t="s">
        <v>523</v>
      </c>
      <c r="M30" s="5" t="s">
        <v>567</v>
      </c>
      <c r="N30" s="5"/>
    </row>
    <row r="31" ht="41.45" customHeight="1" spans="1:14">
      <c r="A31" s="5"/>
      <c r="B31" s="5" t="s">
        <v>373</v>
      </c>
      <c r="C31" s="6" t="s">
        <v>627</v>
      </c>
      <c r="D31" s="6" t="s">
        <v>628</v>
      </c>
      <c r="E31" s="9" t="s">
        <v>629</v>
      </c>
      <c r="F31" s="7"/>
      <c r="G31" s="5"/>
      <c r="H31" s="5"/>
      <c r="I31" s="5"/>
      <c r="J31" s="13"/>
      <c r="K31" s="13"/>
      <c r="L31" s="13"/>
      <c r="M31" s="5"/>
      <c r="N31" s="13" t="s">
        <v>376</v>
      </c>
    </row>
    <row r="32" ht="41.45" customHeight="1" spans="1:14">
      <c r="A32" s="5"/>
      <c r="B32" s="5" t="s">
        <v>387</v>
      </c>
      <c r="C32" s="6" t="s">
        <v>630</v>
      </c>
      <c r="D32" s="6" t="s">
        <v>631</v>
      </c>
      <c r="E32" s="9" t="s">
        <v>632</v>
      </c>
      <c r="F32" s="7"/>
      <c r="G32" s="5"/>
      <c r="H32" s="5"/>
      <c r="I32" s="5"/>
      <c r="J32" s="13"/>
      <c r="K32" s="13"/>
      <c r="L32" s="13"/>
      <c r="M32" s="5"/>
      <c r="N32" s="5"/>
    </row>
    <row r="33" ht="42.95" customHeight="1" spans="1:14">
      <c r="A33" s="5"/>
      <c r="B33" s="5" t="s">
        <v>396</v>
      </c>
      <c r="C33" s="6" t="s">
        <v>633</v>
      </c>
      <c r="D33" s="9" t="s">
        <v>634</v>
      </c>
      <c r="E33" s="9" t="s">
        <v>635</v>
      </c>
      <c r="F33" s="7"/>
      <c r="G33" s="5"/>
      <c r="H33" s="5" t="s">
        <v>352</v>
      </c>
      <c r="I33" s="5"/>
      <c r="J33" s="13"/>
      <c r="K33" s="13" t="s">
        <v>355</v>
      </c>
      <c r="L33" s="13" t="s">
        <v>355</v>
      </c>
      <c r="M33" s="5"/>
      <c r="N33" s="5"/>
    </row>
    <row r="34" ht="42.95" customHeight="1" spans="1:14">
      <c r="A34" s="5"/>
      <c r="B34" s="5" t="s">
        <v>346</v>
      </c>
      <c r="C34" s="6" t="s">
        <v>636</v>
      </c>
      <c r="D34" s="9" t="s">
        <v>637</v>
      </c>
      <c r="E34" s="7" t="s">
        <v>638</v>
      </c>
      <c r="F34" s="7"/>
      <c r="G34" s="5"/>
      <c r="H34" s="5"/>
      <c r="I34" s="5"/>
      <c r="J34" s="13"/>
      <c r="K34" s="13"/>
      <c r="L34" s="13"/>
      <c r="M34" s="5"/>
      <c r="N34" s="5" t="s">
        <v>540</v>
      </c>
    </row>
    <row r="35" ht="42.95" customHeight="1" spans="1:14">
      <c r="A35" s="5"/>
      <c r="B35" s="5" t="s">
        <v>346</v>
      </c>
      <c r="C35" s="6" t="s">
        <v>639</v>
      </c>
      <c r="D35" s="9" t="s">
        <v>640</v>
      </c>
      <c r="E35" s="7" t="s">
        <v>641</v>
      </c>
      <c r="F35" s="7"/>
      <c r="G35" s="5"/>
      <c r="H35" s="5"/>
      <c r="I35" s="5"/>
      <c r="J35" s="13"/>
      <c r="K35" s="13"/>
      <c r="L35" s="13"/>
      <c r="M35" s="5"/>
      <c r="N35" s="5"/>
    </row>
    <row r="36" ht="62.45" customHeight="1" spans="1:14">
      <c r="A36" s="5"/>
      <c r="B36" s="5" t="s">
        <v>387</v>
      </c>
      <c r="C36" s="12" t="s">
        <v>642</v>
      </c>
      <c r="D36" s="6" t="s">
        <v>643</v>
      </c>
      <c r="E36" s="7" t="s">
        <v>644</v>
      </c>
      <c r="F36" s="7"/>
      <c r="G36" s="5"/>
      <c r="H36" s="5"/>
      <c r="I36" s="5"/>
      <c r="J36" s="13"/>
      <c r="K36" s="13"/>
      <c r="L36" s="13"/>
      <c r="M36" s="5"/>
      <c r="N36" s="13"/>
    </row>
    <row r="37" ht="62.45" customHeight="1" spans="1:14">
      <c r="A37" s="5"/>
      <c r="B37" s="5" t="s">
        <v>373</v>
      </c>
      <c r="C37" s="12" t="s">
        <v>645</v>
      </c>
      <c r="D37" s="6" t="s">
        <v>646</v>
      </c>
      <c r="E37" s="7" t="s">
        <v>644</v>
      </c>
      <c r="F37" s="7"/>
      <c r="G37" s="5"/>
      <c r="H37" s="5" t="s">
        <v>352</v>
      </c>
      <c r="I37" s="5"/>
      <c r="J37" s="13"/>
      <c r="K37" s="13" t="s">
        <v>355</v>
      </c>
      <c r="L37" s="13" t="s">
        <v>355</v>
      </c>
      <c r="M37" s="5"/>
      <c r="N37" s="13" t="s">
        <v>376</v>
      </c>
    </row>
    <row r="38" ht="59.1" customHeight="1" spans="1:14">
      <c r="A38" s="5"/>
      <c r="B38" s="5" t="s">
        <v>346</v>
      </c>
      <c r="C38" s="12" t="s">
        <v>647</v>
      </c>
      <c r="D38" s="6" t="s">
        <v>648</v>
      </c>
      <c r="E38" s="7" t="s">
        <v>649</v>
      </c>
      <c r="F38" s="7"/>
      <c r="G38" s="5"/>
      <c r="H38" s="5"/>
      <c r="I38" s="5"/>
      <c r="J38" s="13"/>
      <c r="K38" s="13"/>
      <c r="L38" s="13"/>
      <c r="M38" s="5"/>
      <c r="N38" s="13" t="s">
        <v>540</v>
      </c>
    </row>
    <row r="39" ht="59.1" customHeight="1" spans="1:14">
      <c r="A39" s="5" t="s">
        <v>650</v>
      </c>
      <c r="B39" s="5" t="s">
        <v>387</v>
      </c>
      <c r="C39" s="12" t="s">
        <v>651</v>
      </c>
      <c r="D39" s="6" t="s">
        <v>652</v>
      </c>
      <c r="E39" s="13" t="s">
        <v>653</v>
      </c>
      <c r="F39" s="7" t="s">
        <v>654</v>
      </c>
      <c r="G39" s="5" t="s">
        <v>392</v>
      </c>
      <c r="H39" s="5" t="s">
        <v>352</v>
      </c>
      <c r="I39" s="5" t="s">
        <v>371</v>
      </c>
      <c r="J39" s="13" t="s">
        <v>354</v>
      </c>
      <c r="K39" s="5" t="s">
        <v>355</v>
      </c>
      <c r="L39" s="5" t="s">
        <v>355</v>
      </c>
      <c r="M39" s="5" t="s">
        <v>567</v>
      </c>
      <c r="N39" s="13"/>
    </row>
    <row r="40" ht="68.75" customHeight="1" spans="1:14">
      <c r="A40" s="5"/>
      <c r="B40" s="5" t="s">
        <v>373</v>
      </c>
      <c r="C40" s="12" t="s">
        <v>655</v>
      </c>
      <c r="D40" s="6" t="s">
        <v>656</v>
      </c>
      <c r="E40" s="13"/>
      <c r="F40" s="7"/>
      <c r="G40" s="5"/>
      <c r="H40" s="5"/>
      <c r="I40" s="5"/>
      <c r="J40" s="13"/>
      <c r="K40" s="5"/>
      <c r="L40" s="5"/>
      <c r="M40" s="5"/>
      <c r="N40" s="13" t="s">
        <v>376</v>
      </c>
    </row>
    <row r="41" ht="68.75" customHeight="1" spans="1:14">
      <c r="A41" s="5"/>
      <c r="B41" s="5" t="s">
        <v>346</v>
      </c>
      <c r="C41" s="12" t="s">
        <v>657</v>
      </c>
      <c r="D41" s="6" t="s">
        <v>658</v>
      </c>
      <c r="E41" s="13"/>
      <c r="F41" s="7"/>
      <c r="G41" s="5"/>
      <c r="H41" s="5"/>
      <c r="I41" s="5"/>
      <c r="J41" s="5"/>
      <c r="K41" s="5"/>
      <c r="L41" s="5"/>
      <c r="M41" s="5"/>
      <c r="N41" s="13" t="s">
        <v>540</v>
      </c>
    </row>
    <row r="42" ht="39.5" customHeight="1" spans="1:14">
      <c r="A42" s="5" t="s">
        <v>659</v>
      </c>
      <c r="B42" s="5" t="s">
        <v>346</v>
      </c>
      <c r="C42" s="6" t="s">
        <v>660</v>
      </c>
      <c r="D42" s="6" t="s">
        <v>661</v>
      </c>
      <c r="E42" s="7" t="s">
        <v>662</v>
      </c>
      <c r="F42" s="7" t="s">
        <v>663</v>
      </c>
      <c r="G42" s="5" t="s">
        <v>392</v>
      </c>
      <c r="H42" s="5" t="s">
        <v>352</v>
      </c>
      <c r="I42" s="5" t="s">
        <v>371</v>
      </c>
      <c r="J42" s="13" t="s">
        <v>354</v>
      </c>
      <c r="K42" s="5" t="s">
        <v>355</v>
      </c>
      <c r="L42" s="5" t="s">
        <v>355</v>
      </c>
      <c r="M42" s="5" t="s">
        <v>567</v>
      </c>
      <c r="N42" s="14"/>
    </row>
    <row r="43" ht="41.45" customHeight="1" spans="1:14">
      <c r="A43" s="5"/>
      <c r="B43" s="5" t="s">
        <v>373</v>
      </c>
      <c r="C43" s="6" t="s">
        <v>664</v>
      </c>
      <c r="D43" s="6" t="s">
        <v>665</v>
      </c>
      <c r="E43" s="7"/>
      <c r="F43" s="7"/>
      <c r="G43" s="5"/>
      <c r="H43" s="5"/>
      <c r="I43" s="5"/>
      <c r="J43" s="13"/>
      <c r="K43" s="5"/>
      <c r="L43" s="5"/>
      <c r="M43" s="5"/>
      <c r="N43" s="13" t="s">
        <v>376</v>
      </c>
    </row>
    <row r="44" ht="41.45" customHeight="1" spans="1:14">
      <c r="A44" s="5"/>
      <c r="B44" s="5" t="s">
        <v>346</v>
      </c>
      <c r="C44" s="6" t="s">
        <v>666</v>
      </c>
      <c r="D44" s="6" t="s">
        <v>667</v>
      </c>
      <c r="E44" s="7"/>
      <c r="F44" s="7"/>
      <c r="G44" s="5"/>
      <c r="H44" s="5"/>
      <c r="I44" s="5"/>
      <c r="J44" s="5"/>
      <c r="K44" s="5"/>
      <c r="L44" s="5"/>
      <c r="M44" s="5"/>
      <c r="N44" s="14"/>
    </row>
    <row r="45" ht="54.95" customHeight="1" spans="1:14">
      <c r="A45" s="5" t="s">
        <v>668</v>
      </c>
      <c r="B45" s="5" t="s">
        <v>346</v>
      </c>
      <c r="C45" s="6" t="s">
        <v>669</v>
      </c>
      <c r="D45" s="6" t="s">
        <v>670</v>
      </c>
      <c r="E45" s="7" t="s">
        <v>671</v>
      </c>
      <c r="F45" s="7" t="s">
        <v>672</v>
      </c>
      <c r="G45" s="5" t="s">
        <v>392</v>
      </c>
      <c r="H45" s="5" t="s">
        <v>352</v>
      </c>
      <c r="I45" s="5" t="s">
        <v>371</v>
      </c>
      <c r="J45" s="13" t="s">
        <v>363</v>
      </c>
      <c r="K45" s="5" t="s">
        <v>355</v>
      </c>
      <c r="L45" s="5" t="s">
        <v>355</v>
      </c>
      <c r="M45" s="5" t="s">
        <v>567</v>
      </c>
      <c r="N45" s="14"/>
    </row>
    <row r="46" ht="39.5" customHeight="1" spans="1:14">
      <c r="A46" s="5"/>
      <c r="B46" s="5" t="s">
        <v>373</v>
      </c>
      <c r="C46" s="6" t="s">
        <v>673</v>
      </c>
      <c r="D46" s="6" t="s">
        <v>674</v>
      </c>
      <c r="E46" s="7"/>
      <c r="F46" s="7"/>
      <c r="G46" s="5"/>
      <c r="H46" s="5"/>
      <c r="I46" s="5"/>
      <c r="J46" s="13"/>
      <c r="K46" s="5"/>
      <c r="L46" s="5"/>
      <c r="M46" s="5"/>
      <c r="N46" s="13" t="s">
        <v>376</v>
      </c>
    </row>
    <row r="47" ht="39.5" customHeight="1" spans="1:14">
      <c r="A47" s="5"/>
      <c r="B47" s="5" t="s">
        <v>346</v>
      </c>
      <c r="C47" s="6" t="s">
        <v>675</v>
      </c>
      <c r="D47" s="6" t="s">
        <v>676</v>
      </c>
      <c r="E47" s="7"/>
      <c r="F47" s="7"/>
      <c r="G47" s="5"/>
      <c r="H47" s="5"/>
      <c r="I47" s="5"/>
      <c r="J47" s="5"/>
      <c r="K47" s="5"/>
      <c r="L47" s="5"/>
      <c r="M47" s="5"/>
      <c r="N47" s="5" t="s">
        <v>540</v>
      </c>
    </row>
    <row r="48" ht="30.6" customHeight="1" spans="1:14">
      <c r="A48" s="5" t="s">
        <v>677</v>
      </c>
      <c r="B48" s="5" t="s">
        <v>346</v>
      </c>
      <c r="C48" s="6" t="s">
        <v>678</v>
      </c>
      <c r="D48" s="6" t="s">
        <v>679</v>
      </c>
      <c r="E48" s="7" t="s">
        <v>680</v>
      </c>
      <c r="F48" s="7" t="s">
        <v>681</v>
      </c>
      <c r="G48" s="5" t="s">
        <v>682</v>
      </c>
      <c r="H48" s="5" t="s">
        <v>352</v>
      </c>
      <c r="I48" s="5" t="s">
        <v>371</v>
      </c>
      <c r="J48" s="13" t="s">
        <v>354</v>
      </c>
      <c r="K48" s="5" t="s">
        <v>355</v>
      </c>
      <c r="L48" s="5" t="s">
        <v>355</v>
      </c>
      <c r="M48" s="5" t="s">
        <v>356</v>
      </c>
      <c r="N48" s="14"/>
    </row>
    <row r="49" ht="48" customHeight="1" spans="1:14">
      <c r="A49" s="5"/>
      <c r="B49" s="5" t="s">
        <v>373</v>
      </c>
      <c r="C49" s="6" t="s">
        <v>683</v>
      </c>
      <c r="D49" s="6" t="s">
        <v>684</v>
      </c>
      <c r="E49" s="7"/>
      <c r="F49" s="7"/>
      <c r="G49" s="5"/>
      <c r="H49" s="5"/>
      <c r="I49" s="5"/>
      <c r="J49" s="13"/>
      <c r="K49" s="5"/>
      <c r="L49" s="5"/>
      <c r="M49" s="5"/>
      <c r="N49" s="9" t="s">
        <v>376</v>
      </c>
    </row>
    <row r="50" ht="32" customHeight="1" spans="1:14">
      <c r="A50" s="5"/>
      <c r="B50" s="5" t="s">
        <v>346</v>
      </c>
      <c r="C50" s="6" t="s">
        <v>685</v>
      </c>
      <c r="D50" s="6" t="s">
        <v>686</v>
      </c>
      <c r="E50" s="7"/>
      <c r="F50" s="7"/>
      <c r="G50" s="5"/>
      <c r="H50" s="5"/>
      <c r="I50" s="5"/>
      <c r="J50" s="5"/>
      <c r="K50" s="5"/>
      <c r="L50" s="5"/>
      <c r="M50" s="5"/>
      <c r="N50" s="13" t="s">
        <v>540</v>
      </c>
    </row>
    <row r="51" ht="51.75" customHeight="1" spans="1:14">
      <c r="A51" s="5" t="s">
        <v>687</v>
      </c>
      <c r="B51" s="13" t="s">
        <v>396</v>
      </c>
      <c r="C51" s="9" t="s">
        <v>688</v>
      </c>
      <c r="D51" s="9" t="s">
        <v>689</v>
      </c>
      <c r="E51" s="13" t="s">
        <v>690</v>
      </c>
      <c r="F51" s="13" t="s">
        <v>456</v>
      </c>
      <c r="G51" s="13" t="s">
        <v>457</v>
      </c>
      <c r="H51" s="13" t="s">
        <v>370</v>
      </c>
      <c r="I51" s="13" t="s">
        <v>478</v>
      </c>
      <c r="J51" s="13" t="s">
        <v>363</v>
      </c>
      <c r="K51" s="13" t="s">
        <v>355</v>
      </c>
      <c r="L51" s="13" t="s">
        <v>355</v>
      </c>
      <c r="M51" s="5" t="s">
        <v>356</v>
      </c>
      <c r="N51" s="13"/>
    </row>
    <row r="52" ht="51.75" customHeight="1" spans="1:14">
      <c r="A52" s="5"/>
      <c r="B52" s="13" t="s">
        <v>346</v>
      </c>
      <c r="C52" s="9" t="s">
        <v>691</v>
      </c>
      <c r="D52" s="9" t="s">
        <v>692</v>
      </c>
      <c r="E52" s="13"/>
      <c r="F52" s="13"/>
      <c r="G52" s="13"/>
      <c r="H52" s="13"/>
      <c r="I52" s="13"/>
      <c r="J52" s="13"/>
      <c r="K52" s="13"/>
      <c r="L52" s="13"/>
      <c r="M52" s="5"/>
      <c r="N52" s="13"/>
    </row>
    <row r="53" ht="51.75" customHeight="1" spans="1:14">
      <c r="A53" s="5" t="s">
        <v>693</v>
      </c>
      <c r="B53" s="13" t="s">
        <v>396</v>
      </c>
      <c r="C53" s="9" t="s">
        <v>694</v>
      </c>
      <c r="D53" s="9" t="s">
        <v>695</v>
      </c>
      <c r="E53" s="13" t="s">
        <v>696</v>
      </c>
      <c r="F53" s="13" t="s">
        <v>456</v>
      </c>
      <c r="G53" s="13" t="s">
        <v>457</v>
      </c>
      <c r="H53" s="13" t="s">
        <v>462</v>
      </c>
      <c r="I53" s="13" t="s">
        <v>478</v>
      </c>
      <c r="J53" s="13" t="s">
        <v>363</v>
      </c>
      <c r="K53" s="13" t="s">
        <v>355</v>
      </c>
      <c r="L53" s="13" t="s">
        <v>355</v>
      </c>
      <c r="M53" s="5" t="s">
        <v>356</v>
      </c>
      <c r="N53" s="13"/>
    </row>
    <row r="54" ht="51.75" customHeight="1" spans="1:14">
      <c r="A54" s="5"/>
      <c r="B54" s="13" t="s">
        <v>346</v>
      </c>
      <c r="C54" s="9" t="s">
        <v>697</v>
      </c>
      <c r="D54" s="9" t="s">
        <v>698</v>
      </c>
      <c r="E54" s="13"/>
      <c r="F54" s="13"/>
      <c r="G54" s="13"/>
      <c r="H54" s="13"/>
      <c r="I54" s="13"/>
      <c r="J54" s="13"/>
      <c r="K54" s="13"/>
      <c r="L54" s="13"/>
      <c r="M54" s="5"/>
      <c r="N54" s="13"/>
    </row>
    <row r="55" ht="54.75" customHeight="1" spans="1:14">
      <c r="A55" s="5" t="s">
        <v>699</v>
      </c>
      <c r="B55" s="13" t="s">
        <v>396</v>
      </c>
      <c r="C55" s="9" t="s">
        <v>700</v>
      </c>
      <c r="D55" s="9" t="s">
        <v>701</v>
      </c>
      <c r="E55" s="13" t="s">
        <v>702</v>
      </c>
      <c r="F55" s="13" t="s">
        <v>456</v>
      </c>
      <c r="G55" s="13" t="s">
        <v>457</v>
      </c>
      <c r="H55" s="13" t="s">
        <v>370</v>
      </c>
      <c r="I55" s="13" t="s">
        <v>478</v>
      </c>
      <c r="J55" s="13" t="s">
        <v>363</v>
      </c>
      <c r="K55" s="13" t="s">
        <v>355</v>
      </c>
      <c r="L55" s="13" t="s">
        <v>355</v>
      </c>
      <c r="M55" s="5" t="s">
        <v>356</v>
      </c>
      <c r="N55" s="13"/>
    </row>
    <row r="56" ht="54.75" customHeight="1" spans="1:14">
      <c r="A56" s="5"/>
      <c r="B56" s="13" t="s">
        <v>346</v>
      </c>
      <c r="C56" s="9" t="s">
        <v>703</v>
      </c>
      <c r="D56" s="9" t="s">
        <v>704</v>
      </c>
      <c r="E56" s="13"/>
      <c r="F56" s="13"/>
      <c r="G56" s="13"/>
      <c r="H56" s="13"/>
      <c r="I56" s="13"/>
      <c r="J56" s="13"/>
      <c r="K56" s="13"/>
      <c r="L56" s="13"/>
      <c r="M56" s="5"/>
      <c r="N56" s="13"/>
    </row>
    <row r="57" ht="54.75" customHeight="1" spans="1:14">
      <c r="A57" s="5" t="s">
        <v>705</v>
      </c>
      <c r="B57" s="13" t="s">
        <v>396</v>
      </c>
      <c r="C57" s="9" t="s">
        <v>706</v>
      </c>
      <c r="D57" s="9" t="s">
        <v>707</v>
      </c>
      <c r="E57" s="13" t="s">
        <v>708</v>
      </c>
      <c r="F57" s="13" t="s">
        <v>456</v>
      </c>
      <c r="G57" s="13" t="s">
        <v>457</v>
      </c>
      <c r="H57" s="13" t="s">
        <v>462</v>
      </c>
      <c r="I57" s="13" t="s">
        <v>478</v>
      </c>
      <c r="J57" s="13" t="s">
        <v>363</v>
      </c>
      <c r="K57" s="13" t="s">
        <v>355</v>
      </c>
      <c r="L57" s="13" t="s">
        <v>355</v>
      </c>
      <c r="M57" s="5" t="s">
        <v>356</v>
      </c>
      <c r="N57" s="13"/>
    </row>
    <row r="58" ht="54.75" customHeight="1" spans="1:14">
      <c r="A58" s="5"/>
      <c r="B58" s="13" t="s">
        <v>346</v>
      </c>
      <c r="C58" s="9" t="s">
        <v>709</v>
      </c>
      <c r="D58" s="9" t="s">
        <v>710</v>
      </c>
      <c r="E58" s="13"/>
      <c r="F58" s="13"/>
      <c r="G58" s="13"/>
      <c r="H58" s="13"/>
      <c r="I58" s="13"/>
      <c r="J58" s="13"/>
      <c r="K58" s="13"/>
      <c r="L58" s="13"/>
      <c r="M58" s="5"/>
      <c r="N58" s="13"/>
    </row>
    <row r="59" ht="21.75" customHeight="1" spans="1:14">
      <c r="A59" s="5" t="s">
        <v>711</v>
      </c>
      <c r="B59" s="13" t="s">
        <v>346</v>
      </c>
      <c r="C59" s="9" t="s">
        <v>712</v>
      </c>
      <c r="D59" s="9" t="s">
        <v>713</v>
      </c>
      <c r="E59" s="13" t="s">
        <v>714</v>
      </c>
      <c r="F59" s="13" t="s">
        <v>715</v>
      </c>
      <c r="G59" s="13" t="s">
        <v>436</v>
      </c>
      <c r="H59" s="13" t="s">
        <v>462</v>
      </c>
      <c r="I59" s="13" t="s">
        <v>478</v>
      </c>
      <c r="J59" s="13" t="s">
        <v>363</v>
      </c>
      <c r="K59" s="13" t="s">
        <v>355</v>
      </c>
      <c r="L59" s="13" t="s">
        <v>355</v>
      </c>
      <c r="M59" s="5" t="s">
        <v>567</v>
      </c>
      <c r="N59" s="13"/>
    </row>
    <row r="60" spans="1:14">
      <c r="A60" s="5"/>
      <c r="B60" s="13" t="s">
        <v>346</v>
      </c>
      <c r="C60" s="9" t="s">
        <v>716</v>
      </c>
      <c r="D60" s="9" t="s">
        <v>717</v>
      </c>
      <c r="E60" s="13"/>
      <c r="F60" s="13"/>
      <c r="G60" s="13"/>
      <c r="H60" s="13"/>
      <c r="I60" s="13"/>
      <c r="J60" s="13"/>
      <c r="K60" s="13"/>
      <c r="L60" s="13"/>
      <c r="M60" s="5"/>
      <c r="N60" s="13"/>
    </row>
    <row r="61" spans="1:14">
      <c r="A61" s="5" t="s">
        <v>718</v>
      </c>
      <c r="B61" s="5" t="s">
        <v>387</v>
      </c>
      <c r="C61" s="6" t="s">
        <v>719</v>
      </c>
      <c r="D61" s="6" t="s">
        <v>720</v>
      </c>
      <c r="E61" s="7" t="s">
        <v>721</v>
      </c>
      <c r="F61" s="7" t="s">
        <v>722</v>
      </c>
      <c r="G61" s="5" t="s">
        <v>392</v>
      </c>
      <c r="H61" s="5" t="s">
        <v>352</v>
      </c>
      <c r="I61" s="5" t="s">
        <v>371</v>
      </c>
      <c r="J61" s="13" t="s">
        <v>354</v>
      </c>
      <c r="K61" s="5" t="s">
        <v>355</v>
      </c>
      <c r="L61" s="5" t="s">
        <v>355</v>
      </c>
      <c r="M61" s="5" t="s">
        <v>567</v>
      </c>
      <c r="N61" s="5"/>
    </row>
    <row r="62" spans="1:14">
      <c r="A62" s="5"/>
      <c r="B62" s="5" t="s">
        <v>346</v>
      </c>
      <c r="C62" s="6" t="s">
        <v>723</v>
      </c>
      <c r="D62" s="6" t="s">
        <v>724</v>
      </c>
      <c r="E62" s="7"/>
      <c r="F62" s="7"/>
      <c r="G62" s="5"/>
      <c r="H62" s="5"/>
      <c r="I62" s="5"/>
      <c r="J62" s="5"/>
      <c r="K62" s="5"/>
      <c r="L62" s="5"/>
      <c r="M62" s="5"/>
      <c r="N62" s="5"/>
    </row>
    <row r="63" spans="1:14">
      <c r="A63" s="5" t="s">
        <v>725</v>
      </c>
      <c r="B63" s="5" t="s">
        <v>387</v>
      </c>
      <c r="C63" s="6" t="s">
        <v>726</v>
      </c>
      <c r="D63" s="6" t="s">
        <v>727</v>
      </c>
      <c r="E63" s="7" t="s">
        <v>728</v>
      </c>
      <c r="F63" s="7" t="s">
        <v>729</v>
      </c>
      <c r="G63" s="5" t="s">
        <v>392</v>
      </c>
      <c r="H63" s="5" t="s">
        <v>352</v>
      </c>
      <c r="I63" s="5" t="s">
        <v>371</v>
      </c>
      <c r="J63" s="13" t="s">
        <v>354</v>
      </c>
      <c r="K63" s="5" t="s">
        <v>355</v>
      </c>
      <c r="L63" s="5" t="s">
        <v>355</v>
      </c>
      <c r="M63" s="5" t="s">
        <v>567</v>
      </c>
      <c r="N63" s="5"/>
    </row>
    <row r="64" spans="1:14">
      <c r="A64" s="5"/>
      <c r="B64" s="5" t="s">
        <v>346</v>
      </c>
      <c r="C64" s="6" t="s">
        <v>730</v>
      </c>
      <c r="D64" s="6" t="s">
        <v>731</v>
      </c>
      <c r="E64" s="7"/>
      <c r="F64" s="7"/>
      <c r="G64" s="5"/>
      <c r="H64" s="5"/>
      <c r="I64" s="5"/>
      <c r="J64" s="5"/>
      <c r="K64" s="5"/>
      <c r="L64" s="5"/>
      <c r="M64" s="5"/>
      <c r="N64" s="5"/>
    </row>
    <row r="65" spans="1:14">
      <c r="A65" s="5" t="s">
        <v>732</v>
      </c>
      <c r="B65" s="5" t="s">
        <v>346</v>
      </c>
      <c r="C65" s="6" t="s">
        <v>733</v>
      </c>
      <c r="D65" s="6" t="s">
        <v>734</v>
      </c>
      <c r="E65" s="7" t="s">
        <v>735</v>
      </c>
      <c r="F65" s="7" t="s">
        <v>736</v>
      </c>
      <c r="G65" s="5" t="s">
        <v>369</v>
      </c>
      <c r="H65" s="5" t="s">
        <v>352</v>
      </c>
      <c r="I65" s="5" t="s">
        <v>371</v>
      </c>
      <c r="J65" s="13" t="s">
        <v>354</v>
      </c>
      <c r="K65" s="5" t="s">
        <v>355</v>
      </c>
      <c r="L65" s="5" t="s">
        <v>355</v>
      </c>
      <c r="M65" s="5" t="s">
        <v>356</v>
      </c>
      <c r="N65" s="14"/>
    </row>
    <row r="66" ht="26" spans="1:14">
      <c r="A66" s="5"/>
      <c r="B66" s="5" t="s">
        <v>373</v>
      </c>
      <c r="C66" s="6" t="s">
        <v>737</v>
      </c>
      <c r="D66" s="6" t="s">
        <v>738</v>
      </c>
      <c r="E66" s="7"/>
      <c r="F66" s="7"/>
      <c r="G66" s="5"/>
      <c r="H66" s="5"/>
      <c r="I66" s="5"/>
      <c r="J66" s="13"/>
      <c r="K66" s="5"/>
      <c r="L66" s="5"/>
      <c r="M66" s="5"/>
      <c r="N66" s="9" t="s">
        <v>376</v>
      </c>
    </row>
    <row r="67" spans="1:14">
      <c r="A67" s="5"/>
      <c r="B67" s="5" t="s">
        <v>346</v>
      </c>
      <c r="C67" s="6" t="s">
        <v>739</v>
      </c>
      <c r="D67" s="6" t="s">
        <v>740</v>
      </c>
      <c r="E67" s="7"/>
      <c r="F67" s="7"/>
      <c r="G67" s="5"/>
      <c r="H67" s="5"/>
      <c r="I67" s="5"/>
      <c r="J67" s="5"/>
      <c r="K67" s="5"/>
      <c r="L67" s="5"/>
      <c r="M67" s="5"/>
      <c r="N67" s="14"/>
    </row>
  </sheetData>
  <autoFilter ref="A1:N67">
    <extLst/>
  </autoFilter>
  <mergeCells count="220">
    <mergeCell ref="A2:A4"/>
    <mergeCell ref="A7:A9"/>
    <mergeCell ref="A10:A12"/>
    <mergeCell ref="A13:A16"/>
    <mergeCell ref="A17:A23"/>
    <mergeCell ref="A24:A25"/>
    <mergeCell ref="A26:A27"/>
    <mergeCell ref="A28:A29"/>
    <mergeCell ref="A30:A38"/>
    <mergeCell ref="A39:A41"/>
    <mergeCell ref="A42:A44"/>
    <mergeCell ref="A45:A47"/>
    <mergeCell ref="A48:A50"/>
    <mergeCell ref="A51:A52"/>
    <mergeCell ref="A53:A54"/>
    <mergeCell ref="A55:A56"/>
    <mergeCell ref="A57:A58"/>
    <mergeCell ref="A59:A60"/>
    <mergeCell ref="A61:A62"/>
    <mergeCell ref="A63:A64"/>
    <mergeCell ref="A65:A67"/>
    <mergeCell ref="E2:E4"/>
    <mergeCell ref="E7:E9"/>
    <mergeCell ref="E10:E12"/>
    <mergeCell ref="E13:E16"/>
    <mergeCell ref="E17:E23"/>
    <mergeCell ref="E24:E25"/>
    <mergeCell ref="E26:E27"/>
    <mergeCell ref="E28:E29"/>
    <mergeCell ref="E39:E41"/>
    <mergeCell ref="E42:E44"/>
    <mergeCell ref="E45:E47"/>
    <mergeCell ref="E48:E50"/>
    <mergeCell ref="E51:E52"/>
    <mergeCell ref="E53:E54"/>
    <mergeCell ref="E55:E56"/>
    <mergeCell ref="E57:E58"/>
    <mergeCell ref="E59:E60"/>
    <mergeCell ref="E61:E62"/>
    <mergeCell ref="E63:E64"/>
    <mergeCell ref="E65:E67"/>
    <mergeCell ref="F2:F4"/>
    <mergeCell ref="F7:F9"/>
    <mergeCell ref="F10:F12"/>
    <mergeCell ref="F13:F16"/>
    <mergeCell ref="F17:F23"/>
    <mergeCell ref="F24:F25"/>
    <mergeCell ref="F26:F27"/>
    <mergeCell ref="F28:F29"/>
    <mergeCell ref="F30:F38"/>
    <mergeCell ref="F39:F41"/>
    <mergeCell ref="F42:F44"/>
    <mergeCell ref="F45:F47"/>
    <mergeCell ref="F48:F50"/>
    <mergeCell ref="F51:F52"/>
    <mergeCell ref="F53:F54"/>
    <mergeCell ref="F55:F56"/>
    <mergeCell ref="F57:F58"/>
    <mergeCell ref="F59:F60"/>
    <mergeCell ref="F61:F62"/>
    <mergeCell ref="F63:F64"/>
    <mergeCell ref="F65:F67"/>
    <mergeCell ref="G2:G4"/>
    <mergeCell ref="G7:G9"/>
    <mergeCell ref="G10:G12"/>
    <mergeCell ref="G13:G16"/>
    <mergeCell ref="G17:G23"/>
    <mergeCell ref="G24:G25"/>
    <mergeCell ref="G26:G27"/>
    <mergeCell ref="G28:G29"/>
    <mergeCell ref="G30:G38"/>
    <mergeCell ref="G39:G41"/>
    <mergeCell ref="G42:G44"/>
    <mergeCell ref="G45:G47"/>
    <mergeCell ref="G48:G50"/>
    <mergeCell ref="G51:G52"/>
    <mergeCell ref="G53:G54"/>
    <mergeCell ref="G55:G56"/>
    <mergeCell ref="G57:G58"/>
    <mergeCell ref="G59:G60"/>
    <mergeCell ref="G61:G62"/>
    <mergeCell ref="G63:G64"/>
    <mergeCell ref="G65:G67"/>
    <mergeCell ref="H2:H4"/>
    <mergeCell ref="H7:H9"/>
    <mergeCell ref="H10:H12"/>
    <mergeCell ref="H13:H16"/>
    <mergeCell ref="H17:H23"/>
    <mergeCell ref="H24:H25"/>
    <mergeCell ref="H26:H27"/>
    <mergeCell ref="H28:H29"/>
    <mergeCell ref="H30:H38"/>
    <mergeCell ref="H39:H41"/>
    <mergeCell ref="H42:H44"/>
    <mergeCell ref="H45:H47"/>
    <mergeCell ref="H48:H50"/>
    <mergeCell ref="H51:H52"/>
    <mergeCell ref="H53:H54"/>
    <mergeCell ref="H55:H56"/>
    <mergeCell ref="H57:H58"/>
    <mergeCell ref="H59:H60"/>
    <mergeCell ref="H61:H62"/>
    <mergeCell ref="H63:H64"/>
    <mergeCell ref="H65:H67"/>
    <mergeCell ref="I2:I4"/>
    <mergeCell ref="I7:I9"/>
    <mergeCell ref="I10:I12"/>
    <mergeCell ref="I13:I16"/>
    <mergeCell ref="I17:I23"/>
    <mergeCell ref="I24:I25"/>
    <mergeCell ref="I26:I27"/>
    <mergeCell ref="I28:I29"/>
    <mergeCell ref="I30:I38"/>
    <mergeCell ref="I39:I41"/>
    <mergeCell ref="I42:I44"/>
    <mergeCell ref="I45:I47"/>
    <mergeCell ref="I48:I50"/>
    <mergeCell ref="I51:I52"/>
    <mergeCell ref="I53:I54"/>
    <mergeCell ref="I55:I56"/>
    <mergeCell ref="I57:I58"/>
    <mergeCell ref="I59:I60"/>
    <mergeCell ref="I61:I62"/>
    <mergeCell ref="I63:I64"/>
    <mergeCell ref="I65:I67"/>
    <mergeCell ref="J2:J4"/>
    <mergeCell ref="J7:J9"/>
    <mergeCell ref="J10:J12"/>
    <mergeCell ref="J13:J16"/>
    <mergeCell ref="J17:J23"/>
    <mergeCell ref="J24:J25"/>
    <mergeCell ref="J26:J27"/>
    <mergeCell ref="J28:J29"/>
    <mergeCell ref="J30:J38"/>
    <mergeCell ref="J39:J41"/>
    <mergeCell ref="J42:J44"/>
    <mergeCell ref="J45:J47"/>
    <mergeCell ref="J48:J50"/>
    <mergeCell ref="J51:J52"/>
    <mergeCell ref="J53:J54"/>
    <mergeCell ref="J55:J56"/>
    <mergeCell ref="J57:J58"/>
    <mergeCell ref="J59:J60"/>
    <mergeCell ref="J61:J62"/>
    <mergeCell ref="J63:J64"/>
    <mergeCell ref="J65:J67"/>
    <mergeCell ref="K2:K4"/>
    <mergeCell ref="K7:K9"/>
    <mergeCell ref="K10:K12"/>
    <mergeCell ref="K13:K16"/>
    <mergeCell ref="K17:K23"/>
    <mergeCell ref="K24:K25"/>
    <mergeCell ref="K26:K27"/>
    <mergeCell ref="K28:K29"/>
    <mergeCell ref="K30:K38"/>
    <mergeCell ref="K39:K41"/>
    <mergeCell ref="K42:K44"/>
    <mergeCell ref="K45:K47"/>
    <mergeCell ref="K48:K50"/>
    <mergeCell ref="K51:K52"/>
    <mergeCell ref="K53:K54"/>
    <mergeCell ref="K55:K56"/>
    <mergeCell ref="K57:K58"/>
    <mergeCell ref="K59:K60"/>
    <mergeCell ref="K61:K62"/>
    <mergeCell ref="K63:K64"/>
    <mergeCell ref="K65:K67"/>
    <mergeCell ref="L2:L4"/>
    <mergeCell ref="L7:L9"/>
    <mergeCell ref="L10:L12"/>
    <mergeCell ref="L13:L16"/>
    <mergeCell ref="L17:L23"/>
    <mergeCell ref="L24:L25"/>
    <mergeCell ref="L26:L27"/>
    <mergeCell ref="L28:L29"/>
    <mergeCell ref="L30:L38"/>
    <mergeCell ref="L39:L41"/>
    <mergeCell ref="L42:L44"/>
    <mergeCell ref="L45:L47"/>
    <mergeCell ref="L48:L50"/>
    <mergeCell ref="L51:L52"/>
    <mergeCell ref="L53:L54"/>
    <mergeCell ref="L55:L56"/>
    <mergeCell ref="L57:L58"/>
    <mergeCell ref="L59:L60"/>
    <mergeCell ref="L61:L62"/>
    <mergeCell ref="L63:L64"/>
    <mergeCell ref="L65:L67"/>
    <mergeCell ref="M2:M4"/>
    <mergeCell ref="M7:M9"/>
    <mergeCell ref="M10:M12"/>
    <mergeCell ref="M13:M16"/>
    <mergeCell ref="M17:M23"/>
    <mergeCell ref="M24:M25"/>
    <mergeCell ref="M26:M27"/>
    <mergeCell ref="M28:M29"/>
    <mergeCell ref="M30:M38"/>
    <mergeCell ref="M39:M41"/>
    <mergeCell ref="M42:M44"/>
    <mergeCell ref="M45:M47"/>
    <mergeCell ref="M48:M50"/>
    <mergeCell ref="M51:M52"/>
    <mergeCell ref="M53:M54"/>
    <mergeCell ref="M55:M56"/>
    <mergeCell ref="M57:M58"/>
    <mergeCell ref="M59:M60"/>
    <mergeCell ref="M61:M62"/>
    <mergeCell ref="M63:M64"/>
    <mergeCell ref="M65:M67"/>
    <mergeCell ref="N17:N23"/>
    <mergeCell ref="N24:N25"/>
    <mergeCell ref="N26:N27"/>
    <mergeCell ref="N28:N29"/>
    <mergeCell ref="N51:N52"/>
    <mergeCell ref="N53:N54"/>
    <mergeCell ref="N55:N56"/>
    <mergeCell ref="N57:N58"/>
    <mergeCell ref="N59:N60"/>
    <mergeCell ref="N61:N62"/>
    <mergeCell ref="N63:N64"/>
  </mergeCells>
  <pageMargins left="0.75" right="0.75" top="1" bottom="1" header="0.5" footer="0.5"/>
  <pageSetup paperSize="9"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00B050"/>
  </sheetPr>
  <dimension ref="A1:N19"/>
  <sheetViews>
    <sheetView topLeftCell="E1" workbookViewId="0">
      <selection activeCell="J3" sqref="J3"/>
    </sheetView>
  </sheetViews>
  <sheetFormatPr defaultColWidth="9" defaultRowHeight="13"/>
  <cols>
    <col min="1" max="2" width="9" style="1"/>
    <col min="3" max="3" width="30.43" style="1" customWidth="1"/>
    <col min="4" max="4" width="35.57" style="1" customWidth="1"/>
    <col min="5" max="5" width="30.57" style="1" customWidth="1"/>
    <col min="6" max="6" width="40.57" style="1" customWidth="1"/>
    <col min="7" max="7" width="9" style="1"/>
    <col min="8" max="8" width="9.64" style="1" customWidth="1"/>
    <col min="9" max="9" width="9" style="1"/>
    <col min="10" max="10" width="15" style="1" customWidth="1"/>
    <col min="11" max="12" width="9" style="1"/>
    <col min="13" max="13" width="9.64" style="1" customWidth="1"/>
    <col min="14" max="14" width="38" style="1" customWidth="1"/>
    <col min="15" max="16384" width="9" style="1"/>
  </cols>
  <sheetData>
    <row r="1" spans="1:14">
      <c r="A1" s="4" t="s">
        <v>332</v>
      </c>
      <c r="B1" s="4" t="s">
        <v>333</v>
      </c>
      <c r="C1" s="4" t="s">
        <v>334</v>
      </c>
      <c r="D1" s="4" t="s">
        <v>335</v>
      </c>
      <c r="E1" s="4" t="s">
        <v>336</v>
      </c>
      <c r="F1" s="4" t="s">
        <v>337</v>
      </c>
      <c r="G1" s="4" t="s">
        <v>338</v>
      </c>
      <c r="H1" s="4" t="s">
        <v>339</v>
      </c>
      <c r="I1" s="4" t="s">
        <v>340</v>
      </c>
      <c r="J1" s="4" t="s">
        <v>341</v>
      </c>
      <c r="K1" s="4" t="s">
        <v>342</v>
      </c>
      <c r="L1" s="4" t="s">
        <v>343</v>
      </c>
      <c r="M1" s="4" t="s">
        <v>344</v>
      </c>
      <c r="N1" s="4" t="s">
        <v>235</v>
      </c>
    </row>
    <row r="2" ht="52.5" customHeight="1" spans="1:14">
      <c r="A2" s="8" t="s">
        <v>741</v>
      </c>
      <c r="B2" s="5" t="s">
        <v>346</v>
      </c>
      <c r="C2" s="6" t="s">
        <v>742</v>
      </c>
      <c r="D2" s="6" t="s">
        <v>743</v>
      </c>
      <c r="E2" s="6" t="s">
        <v>744</v>
      </c>
      <c r="F2" s="6" t="s">
        <v>745</v>
      </c>
      <c r="G2" s="119" t="s">
        <v>392</v>
      </c>
      <c r="H2" s="119" t="s">
        <v>352</v>
      </c>
      <c r="I2" s="119" t="s">
        <v>371</v>
      </c>
      <c r="J2" s="120" t="s">
        <v>372</v>
      </c>
      <c r="K2" s="119" t="s">
        <v>355</v>
      </c>
      <c r="L2" s="119" t="s">
        <v>355</v>
      </c>
      <c r="M2" s="121" t="s">
        <v>567</v>
      </c>
      <c r="N2" s="80" t="s">
        <v>746</v>
      </c>
    </row>
    <row r="3" ht="65" spans="1:14">
      <c r="A3" s="11"/>
      <c r="B3" s="5" t="s">
        <v>346</v>
      </c>
      <c r="C3" s="12" t="s">
        <v>747</v>
      </c>
      <c r="D3" s="6" t="s">
        <v>748</v>
      </c>
      <c r="E3" s="6" t="s">
        <v>749</v>
      </c>
      <c r="F3" s="12" t="s">
        <v>750</v>
      </c>
      <c r="G3" s="119" t="s">
        <v>392</v>
      </c>
      <c r="H3" s="119" t="s">
        <v>352</v>
      </c>
      <c r="I3" s="119" t="s">
        <v>371</v>
      </c>
      <c r="J3" s="120" t="s">
        <v>363</v>
      </c>
      <c r="K3" s="119" t="s">
        <v>355</v>
      </c>
      <c r="L3" s="119" t="s">
        <v>355</v>
      </c>
      <c r="M3" s="121" t="s">
        <v>356</v>
      </c>
      <c r="N3" s="100"/>
    </row>
    <row r="4" spans="1:14">
      <c r="A4" s="8" t="s">
        <v>751</v>
      </c>
      <c r="B4" s="5" t="s">
        <v>387</v>
      </c>
      <c r="C4" s="6" t="s">
        <v>752</v>
      </c>
      <c r="D4" s="6" t="s">
        <v>753</v>
      </c>
      <c r="E4" s="6" t="s">
        <v>754</v>
      </c>
      <c r="F4" s="8" t="s">
        <v>755</v>
      </c>
      <c r="G4" s="8" t="s">
        <v>392</v>
      </c>
      <c r="H4" s="8" t="s">
        <v>352</v>
      </c>
      <c r="I4" s="8" t="s">
        <v>371</v>
      </c>
      <c r="J4" s="19" t="s">
        <v>372</v>
      </c>
      <c r="K4" s="8" t="s">
        <v>355</v>
      </c>
      <c r="L4" s="8" t="s">
        <v>355</v>
      </c>
      <c r="M4" s="8" t="s">
        <v>567</v>
      </c>
      <c r="N4" s="8"/>
    </row>
    <row r="5" ht="26" spans="1:14">
      <c r="A5" s="11"/>
      <c r="B5" s="5" t="s">
        <v>346</v>
      </c>
      <c r="C5" s="6" t="s">
        <v>756</v>
      </c>
      <c r="D5" s="6" t="s">
        <v>757</v>
      </c>
      <c r="E5" s="6" t="s">
        <v>758</v>
      </c>
      <c r="F5" s="11"/>
      <c r="G5" s="11"/>
      <c r="H5" s="11"/>
      <c r="I5" s="11"/>
      <c r="J5" s="11"/>
      <c r="K5" s="11"/>
      <c r="L5" s="11"/>
      <c r="M5" s="11"/>
      <c r="N5" s="11"/>
    </row>
    <row r="6" ht="38.85" customHeight="1" spans="1:14">
      <c r="A6" s="5" t="s">
        <v>759</v>
      </c>
      <c r="B6" s="5" t="s">
        <v>346</v>
      </c>
      <c r="C6" s="6" t="s">
        <v>760</v>
      </c>
      <c r="D6" s="6" t="s">
        <v>761</v>
      </c>
      <c r="E6" s="7" t="s">
        <v>762</v>
      </c>
      <c r="F6" s="7" t="s">
        <v>763</v>
      </c>
      <c r="G6" s="5" t="s">
        <v>392</v>
      </c>
      <c r="H6" s="5" t="s">
        <v>352</v>
      </c>
      <c r="I6" s="5" t="s">
        <v>371</v>
      </c>
      <c r="J6" s="13" t="s">
        <v>363</v>
      </c>
      <c r="K6" s="5" t="s">
        <v>355</v>
      </c>
      <c r="L6" s="5" t="s">
        <v>355</v>
      </c>
      <c r="M6" s="5" t="s">
        <v>356</v>
      </c>
      <c r="N6" s="5"/>
    </row>
    <row r="7" ht="44.25" customHeight="1" spans="1:14">
      <c r="A7" s="5"/>
      <c r="B7" s="5" t="s">
        <v>396</v>
      </c>
      <c r="C7" s="6" t="s">
        <v>764</v>
      </c>
      <c r="D7" s="6" t="s">
        <v>765</v>
      </c>
      <c r="E7" s="7"/>
      <c r="F7" s="7"/>
      <c r="G7" s="5"/>
      <c r="H7" s="5"/>
      <c r="I7" s="5"/>
      <c r="J7" s="5"/>
      <c r="K7" s="5"/>
      <c r="L7" s="5"/>
      <c r="M7" s="5"/>
      <c r="N7" s="5"/>
    </row>
    <row r="8" ht="39.75" customHeight="1" spans="1:14">
      <c r="A8" s="5" t="s">
        <v>766</v>
      </c>
      <c r="B8" s="5" t="s">
        <v>346</v>
      </c>
      <c r="C8" s="6" t="s">
        <v>767</v>
      </c>
      <c r="D8" s="6" t="s">
        <v>768</v>
      </c>
      <c r="E8" s="6" t="s">
        <v>769</v>
      </c>
      <c r="F8" s="6" t="s">
        <v>770</v>
      </c>
      <c r="G8" s="8" t="s">
        <v>392</v>
      </c>
      <c r="H8" s="8" t="s">
        <v>352</v>
      </c>
      <c r="I8" s="8" t="s">
        <v>371</v>
      </c>
      <c r="J8" s="19" t="s">
        <v>363</v>
      </c>
      <c r="K8" s="8" t="s">
        <v>355</v>
      </c>
      <c r="L8" s="8" t="s">
        <v>355</v>
      </c>
      <c r="M8" s="8" t="s">
        <v>356</v>
      </c>
      <c r="N8" s="80" t="s">
        <v>771</v>
      </c>
    </row>
    <row r="9" ht="35.25" customHeight="1" spans="1:14">
      <c r="A9" s="5"/>
      <c r="B9" s="5" t="s">
        <v>346</v>
      </c>
      <c r="C9" s="12" t="s">
        <v>772</v>
      </c>
      <c r="D9" s="6" t="s">
        <v>773</v>
      </c>
      <c r="E9" s="6" t="s">
        <v>774</v>
      </c>
      <c r="F9" s="6" t="s">
        <v>775</v>
      </c>
      <c r="G9" s="11" t="s">
        <v>392</v>
      </c>
      <c r="H9" s="11" t="s">
        <v>352</v>
      </c>
      <c r="I9" s="11" t="s">
        <v>371</v>
      </c>
      <c r="J9" s="11"/>
      <c r="K9" s="11" t="s">
        <v>355</v>
      </c>
      <c r="L9" s="11" t="s">
        <v>355</v>
      </c>
      <c r="M9" s="11"/>
      <c r="N9" s="100"/>
    </row>
    <row r="10" ht="26" spans="1:14">
      <c r="A10" s="8" t="s">
        <v>776</v>
      </c>
      <c r="B10" s="5" t="s">
        <v>346</v>
      </c>
      <c r="C10" s="6" t="s">
        <v>777</v>
      </c>
      <c r="D10" s="6" t="s">
        <v>778</v>
      </c>
      <c r="E10" s="6" t="s">
        <v>779</v>
      </c>
      <c r="F10" s="19" t="s">
        <v>780</v>
      </c>
      <c r="G10" s="8" t="s">
        <v>392</v>
      </c>
      <c r="H10" s="8" t="s">
        <v>352</v>
      </c>
      <c r="I10" s="8" t="s">
        <v>371</v>
      </c>
      <c r="J10" s="19" t="s">
        <v>363</v>
      </c>
      <c r="K10" s="8" t="s">
        <v>355</v>
      </c>
      <c r="L10" s="8" t="s">
        <v>355</v>
      </c>
      <c r="M10" s="8" t="s">
        <v>356</v>
      </c>
      <c r="N10" s="8"/>
    </row>
    <row r="11" ht="26" spans="1:14">
      <c r="A11" s="11"/>
      <c r="B11" s="5" t="s">
        <v>346</v>
      </c>
      <c r="C11" s="6" t="s">
        <v>781</v>
      </c>
      <c r="D11" s="6" t="s">
        <v>782</v>
      </c>
      <c r="E11" s="6" t="s">
        <v>783</v>
      </c>
      <c r="F11" s="59"/>
      <c r="G11" s="11"/>
      <c r="H11" s="11"/>
      <c r="I11" s="11"/>
      <c r="J11" s="11"/>
      <c r="K11" s="11"/>
      <c r="L11" s="11"/>
      <c r="M11" s="11"/>
      <c r="N11" s="11"/>
    </row>
    <row r="12" ht="52" spans="1:14">
      <c r="A12" s="5" t="s">
        <v>784</v>
      </c>
      <c r="B12" s="5" t="s">
        <v>346</v>
      </c>
      <c r="C12" s="6" t="s">
        <v>785</v>
      </c>
      <c r="D12" s="6" t="s">
        <v>786</v>
      </c>
      <c r="E12" s="6" t="s">
        <v>787</v>
      </c>
      <c r="F12" s="6" t="s">
        <v>788</v>
      </c>
      <c r="G12" s="5" t="s">
        <v>392</v>
      </c>
      <c r="H12" s="5" t="s">
        <v>352</v>
      </c>
      <c r="I12" s="5" t="s">
        <v>371</v>
      </c>
      <c r="J12" s="13" t="s">
        <v>363</v>
      </c>
      <c r="K12" s="5" t="s">
        <v>355</v>
      </c>
      <c r="L12" s="5" t="s">
        <v>355</v>
      </c>
      <c r="M12" s="5" t="s">
        <v>356</v>
      </c>
      <c r="N12" s="14"/>
    </row>
    <row r="13" ht="26.75" customHeight="1" spans="1:14">
      <c r="A13" s="5" t="s">
        <v>789</v>
      </c>
      <c r="B13" s="5" t="s">
        <v>387</v>
      </c>
      <c r="C13" s="6" t="s">
        <v>790</v>
      </c>
      <c r="D13" s="6" t="s">
        <v>791</v>
      </c>
      <c r="E13" s="7" t="s">
        <v>792</v>
      </c>
      <c r="F13" s="7" t="s">
        <v>793</v>
      </c>
      <c r="G13" s="5" t="s">
        <v>392</v>
      </c>
      <c r="H13" s="5" t="s">
        <v>352</v>
      </c>
      <c r="I13" s="5" t="s">
        <v>371</v>
      </c>
      <c r="J13" s="13" t="s">
        <v>363</v>
      </c>
      <c r="K13" s="5" t="s">
        <v>355</v>
      </c>
      <c r="L13" s="5" t="s">
        <v>355</v>
      </c>
      <c r="M13" s="5" t="s">
        <v>356</v>
      </c>
      <c r="N13" s="5"/>
    </row>
    <row r="14" ht="26.75" customHeight="1" spans="1:14">
      <c r="A14" s="5"/>
      <c r="B14" s="5" t="s">
        <v>387</v>
      </c>
      <c r="C14" s="6" t="s">
        <v>794</v>
      </c>
      <c r="D14" s="6" t="s">
        <v>795</v>
      </c>
      <c r="E14" s="7"/>
      <c r="F14" s="7"/>
      <c r="G14" s="5"/>
      <c r="H14" s="5"/>
      <c r="I14" s="5"/>
      <c r="J14" s="5"/>
      <c r="K14" s="5"/>
      <c r="L14" s="5"/>
      <c r="M14" s="5"/>
      <c r="N14" s="5"/>
    </row>
    <row r="15" ht="26.75" customHeight="1" spans="1:14">
      <c r="A15" s="5"/>
      <c r="B15" s="5" t="s">
        <v>396</v>
      </c>
      <c r="C15" s="12" t="s">
        <v>796</v>
      </c>
      <c r="D15" s="6" t="s">
        <v>797</v>
      </c>
      <c r="E15" s="7"/>
      <c r="F15" s="7"/>
      <c r="G15" s="5"/>
      <c r="H15" s="5"/>
      <c r="I15" s="5"/>
      <c r="J15" s="5"/>
      <c r="K15" s="5"/>
      <c r="L15" s="5"/>
      <c r="M15" s="5"/>
      <c r="N15" s="5"/>
    </row>
    <row r="16" ht="21.75" customHeight="1" spans="1:14">
      <c r="A16" s="5"/>
      <c r="B16" s="5" t="s">
        <v>387</v>
      </c>
      <c r="C16" s="12" t="s">
        <v>798</v>
      </c>
      <c r="D16" s="6" t="s">
        <v>799</v>
      </c>
      <c r="E16" s="7"/>
      <c r="F16" s="7"/>
      <c r="G16" s="5"/>
      <c r="H16" s="5"/>
      <c r="I16" s="5"/>
      <c r="J16" s="5"/>
      <c r="K16" s="5"/>
      <c r="L16" s="5"/>
      <c r="M16" s="5"/>
      <c r="N16" s="5"/>
    </row>
    <row r="17" ht="24.5" customHeight="1" spans="1:14">
      <c r="A17" s="5" t="s">
        <v>800</v>
      </c>
      <c r="B17" s="5" t="s">
        <v>346</v>
      </c>
      <c r="C17" s="6" t="s">
        <v>801</v>
      </c>
      <c r="D17" s="6" t="s">
        <v>802</v>
      </c>
      <c r="E17" s="7" t="s">
        <v>803</v>
      </c>
      <c r="F17" s="7" t="s">
        <v>804</v>
      </c>
      <c r="G17" s="5" t="s">
        <v>392</v>
      </c>
      <c r="H17" s="5" t="s">
        <v>352</v>
      </c>
      <c r="I17" s="5" t="s">
        <v>371</v>
      </c>
      <c r="J17" s="13" t="s">
        <v>363</v>
      </c>
      <c r="K17" s="5" t="s">
        <v>355</v>
      </c>
      <c r="L17" s="5" t="s">
        <v>355</v>
      </c>
      <c r="M17" s="5" t="s">
        <v>356</v>
      </c>
      <c r="N17" s="5"/>
    </row>
    <row r="18" ht="30.6" customHeight="1" spans="1:14">
      <c r="A18" s="5"/>
      <c r="B18" s="5" t="s">
        <v>396</v>
      </c>
      <c r="C18" s="6" t="s">
        <v>805</v>
      </c>
      <c r="D18" s="6" t="s">
        <v>806</v>
      </c>
      <c r="E18" s="7"/>
      <c r="F18" s="7"/>
      <c r="G18" s="5"/>
      <c r="H18" s="5"/>
      <c r="I18" s="5"/>
      <c r="J18" s="5"/>
      <c r="K18" s="5"/>
      <c r="L18" s="5"/>
      <c r="M18" s="5"/>
      <c r="N18" s="5"/>
    </row>
    <row r="19" ht="53.25" customHeight="1" spans="1:14">
      <c r="A19" s="5" t="s">
        <v>807</v>
      </c>
      <c r="B19" s="5" t="s">
        <v>387</v>
      </c>
      <c r="C19" s="6" t="s">
        <v>808</v>
      </c>
      <c r="D19" s="6" t="s">
        <v>809</v>
      </c>
      <c r="E19" s="12" t="s">
        <v>810</v>
      </c>
      <c r="F19" s="9" t="s">
        <v>811</v>
      </c>
      <c r="G19" s="14" t="s">
        <v>682</v>
      </c>
      <c r="H19" s="5" t="s">
        <v>352</v>
      </c>
      <c r="I19" s="5" t="s">
        <v>371</v>
      </c>
      <c r="J19" s="13" t="s">
        <v>363</v>
      </c>
      <c r="K19" s="5" t="s">
        <v>355</v>
      </c>
      <c r="L19" s="5" t="s">
        <v>355</v>
      </c>
      <c r="M19" s="5" t="s">
        <v>567</v>
      </c>
      <c r="N19" s="14"/>
    </row>
  </sheetData>
  <mergeCells count="64">
    <mergeCell ref="A2:A3"/>
    <mergeCell ref="A4:A5"/>
    <mergeCell ref="A6:A7"/>
    <mergeCell ref="A8:A9"/>
    <mergeCell ref="A10:A11"/>
    <mergeCell ref="A13:A16"/>
    <mergeCell ref="A17:A18"/>
    <mergeCell ref="E6:E7"/>
    <mergeCell ref="E13:E16"/>
    <mergeCell ref="E17:E18"/>
    <mergeCell ref="F4:F5"/>
    <mergeCell ref="F6:F7"/>
    <mergeCell ref="F10:F11"/>
    <mergeCell ref="F13:F16"/>
    <mergeCell ref="F17:F18"/>
    <mergeCell ref="G4:G5"/>
    <mergeCell ref="G6:G7"/>
    <mergeCell ref="G8:G9"/>
    <mergeCell ref="G10:G11"/>
    <mergeCell ref="G13:G16"/>
    <mergeCell ref="G17:G18"/>
    <mergeCell ref="H4:H5"/>
    <mergeCell ref="H6:H7"/>
    <mergeCell ref="H8:H9"/>
    <mergeCell ref="H10:H11"/>
    <mergeCell ref="H13:H16"/>
    <mergeCell ref="H17:H18"/>
    <mergeCell ref="I4:I5"/>
    <mergeCell ref="I6:I7"/>
    <mergeCell ref="I8:I9"/>
    <mergeCell ref="I10:I11"/>
    <mergeCell ref="I13:I16"/>
    <mergeCell ref="I17:I18"/>
    <mergeCell ref="J4:J5"/>
    <mergeCell ref="J6:J7"/>
    <mergeCell ref="J8:J9"/>
    <mergeCell ref="J10:J11"/>
    <mergeCell ref="J13:J16"/>
    <mergeCell ref="J17:J18"/>
    <mergeCell ref="K4:K5"/>
    <mergeCell ref="K6:K7"/>
    <mergeCell ref="K8:K9"/>
    <mergeCell ref="K10:K11"/>
    <mergeCell ref="K13:K16"/>
    <mergeCell ref="K17:K18"/>
    <mergeCell ref="L4:L5"/>
    <mergeCell ref="L6:L7"/>
    <mergeCell ref="L8:L9"/>
    <mergeCell ref="L10:L11"/>
    <mergeCell ref="L13:L16"/>
    <mergeCell ref="L17:L18"/>
    <mergeCell ref="M4:M5"/>
    <mergeCell ref="M6:M7"/>
    <mergeCell ref="M8:M9"/>
    <mergeCell ref="M10:M11"/>
    <mergeCell ref="M13:M16"/>
    <mergeCell ref="M17:M18"/>
    <mergeCell ref="N2:N3"/>
    <mergeCell ref="N4:N5"/>
    <mergeCell ref="N6:N7"/>
    <mergeCell ref="N8:N9"/>
    <mergeCell ref="N10:N11"/>
    <mergeCell ref="N13:N16"/>
    <mergeCell ref="N17:N18"/>
  </mergeCells>
  <pageMargins left="0.75" right="0.75" top="1" bottom="1" header="0.5" footer="0.5"/>
  <pageSetup paperSize="9" orientation="portrait"/>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N65"/>
  <sheetViews>
    <sheetView workbookViewId="0">
      <selection activeCell="D8" sqref="D8"/>
    </sheetView>
  </sheetViews>
  <sheetFormatPr defaultColWidth="9" defaultRowHeight="13"/>
  <cols>
    <col min="1" max="1" width="9.64" style="1" customWidth="1"/>
    <col min="2" max="2" width="7.64" style="1" customWidth="1"/>
    <col min="3" max="3" width="25" style="1" customWidth="1"/>
    <col min="4" max="4" width="15.86" style="1" customWidth="1"/>
    <col min="5" max="5" width="23.57" style="1" customWidth="1"/>
    <col min="6" max="6" width="48.86" style="1" customWidth="1"/>
    <col min="7" max="7" width="9" style="1"/>
    <col min="8" max="8" width="9.64" style="1" customWidth="1"/>
    <col min="9" max="9" width="9" style="1"/>
    <col min="10" max="10" width="15.36" style="1" customWidth="1"/>
    <col min="11" max="12" width="9" style="1"/>
    <col min="13" max="13" width="9.64" style="1" customWidth="1"/>
    <col min="14" max="14" width="21.57" style="1" customWidth="1"/>
    <col min="15" max="16384" width="9" style="1"/>
  </cols>
  <sheetData>
    <row r="1" spans="1:14">
      <c r="A1" s="4" t="s">
        <v>332</v>
      </c>
      <c r="B1" s="4" t="s">
        <v>333</v>
      </c>
      <c r="C1" s="4" t="s">
        <v>334</v>
      </c>
      <c r="D1" s="4" t="s">
        <v>335</v>
      </c>
      <c r="E1" s="4" t="s">
        <v>336</v>
      </c>
      <c r="F1" s="4" t="s">
        <v>337</v>
      </c>
      <c r="G1" s="4" t="s">
        <v>338</v>
      </c>
      <c r="H1" s="4" t="s">
        <v>339</v>
      </c>
      <c r="I1" s="4" t="s">
        <v>340</v>
      </c>
      <c r="J1" s="4" t="s">
        <v>341</v>
      </c>
      <c r="K1" s="4" t="s">
        <v>342</v>
      </c>
      <c r="L1" s="4" t="s">
        <v>343</v>
      </c>
      <c r="M1" s="4" t="s">
        <v>344</v>
      </c>
      <c r="N1" s="4" t="s">
        <v>235</v>
      </c>
    </row>
    <row r="2" ht="26" spans="1:14">
      <c r="A2" s="5" t="s">
        <v>812</v>
      </c>
      <c r="B2" s="5" t="s">
        <v>387</v>
      </c>
      <c r="C2" s="6" t="s">
        <v>813</v>
      </c>
      <c r="D2" s="12" t="s">
        <v>814</v>
      </c>
      <c r="E2" s="13" t="s">
        <v>815</v>
      </c>
      <c r="F2" s="13" t="s">
        <v>816</v>
      </c>
      <c r="G2" s="13" t="s">
        <v>392</v>
      </c>
      <c r="H2" s="13" t="s">
        <v>352</v>
      </c>
      <c r="I2" s="13" t="s">
        <v>393</v>
      </c>
      <c r="J2" s="13" t="s">
        <v>363</v>
      </c>
      <c r="K2" s="13" t="s">
        <v>355</v>
      </c>
      <c r="L2" s="13" t="s">
        <v>355</v>
      </c>
      <c r="M2" s="13" t="s">
        <v>567</v>
      </c>
      <c r="N2" s="9"/>
    </row>
    <row r="3" ht="39" spans="1:14">
      <c r="A3" s="5"/>
      <c r="B3" s="5" t="s">
        <v>373</v>
      </c>
      <c r="C3" s="6" t="s">
        <v>817</v>
      </c>
      <c r="D3" s="12" t="s">
        <v>818</v>
      </c>
      <c r="E3" s="13"/>
      <c r="F3" s="13"/>
      <c r="G3" s="13"/>
      <c r="H3" s="13"/>
      <c r="I3" s="13"/>
      <c r="J3" s="13"/>
      <c r="K3" s="13"/>
      <c r="L3" s="13"/>
      <c r="M3" s="13"/>
      <c r="N3" s="9" t="s">
        <v>376</v>
      </c>
    </row>
    <row r="4" ht="39" spans="1:14">
      <c r="A4" s="5"/>
      <c r="B4" s="5" t="s">
        <v>387</v>
      </c>
      <c r="C4" s="6" t="s">
        <v>819</v>
      </c>
      <c r="D4" s="12" t="s">
        <v>820</v>
      </c>
      <c r="E4" s="13"/>
      <c r="F4" s="13"/>
      <c r="G4" s="13"/>
      <c r="H4" s="13"/>
      <c r="I4" s="13"/>
      <c r="J4" s="13"/>
      <c r="K4" s="13"/>
      <c r="L4" s="13"/>
      <c r="M4" s="13"/>
      <c r="N4" s="9"/>
    </row>
    <row r="5" ht="26" spans="1:14">
      <c r="A5" s="5"/>
      <c r="B5" s="5" t="s">
        <v>387</v>
      </c>
      <c r="C5" s="6" t="s">
        <v>821</v>
      </c>
      <c r="D5" s="12" t="s">
        <v>822</v>
      </c>
      <c r="E5" s="13"/>
      <c r="F5" s="13"/>
      <c r="G5" s="13"/>
      <c r="H5" s="13"/>
      <c r="I5" s="13"/>
      <c r="J5" s="13"/>
      <c r="K5" s="13"/>
      <c r="L5" s="13"/>
      <c r="M5" s="13"/>
      <c r="N5" s="9"/>
    </row>
    <row r="6" ht="26" spans="1:14">
      <c r="A6" s="5" t="s">
        <v>823</v>
      </c>
      <c r="B6" s="5" t="s">
        <v>346</v>
      </c>
      <c r="C6" s="6" t="s">
        <v>824</v>
      </c>
      <c r="D6" s="12" t="s">
        <v>825</v>
      </c>
      <c r="E6" s="13" t="s">
        <v>826</v>
      </c>
      <c r="F6" s="13" t="s">
        <v>827</v>
      </c>
      <c r="G6" s="13" t="s">
        <v>392</v>
      </c>
      <c r="H6" s="13" t="s">
        <v>352</v>
      </c>
      <c r="I6" s="13" t="s">
        <v>393</v>
      </c>
      <c r="J6" s="13" t="s">
        <v>363</v>
      </c>
      <c r="K6" s="13" t="s">
        <v>355</v>
      </c>
      <c r="L6" s="13" t="s">
        <v>355</v>
      </c>
      <c r="M6" s="13" t="s">
        <v>567</v>
      </c>
      <c r="N6" s="9"/>
    </row>
    <row r="7" ht="39" spans="1:14">
      <c r="A7" s="5"/>
      <c r="B7" s="5" t="s">
        <v>373</v>
      </c>
      <c r="C7" s="6" t="s">
        <v>828</v>
      </c>
      <c r="D7" s="12" t="s">
        <v>829</v>
      </c>
      <c r="E7" s="13"/>
      <c r="F7" s="13"/>
      <c r="G7" s="13"/>
      <c r="H7" s="13"/>
      <c r="I7" s="13"/>
      <c r="J7" s="13"/>
      <c r="K7" s="13"/>
      <c r="L7" s="13"/>
      <c r="M7" s="13"/>
      <c r="N7" s="9" t="s">
        <v>376</v>
      </c>
    </row>
    <row r="8" ht="39" spans="1:14">
      <c r="A8" s="5"/>
      <c r="B8" s="5" t="s">
        <v>346</v>
      </c>
      <c r="C8" s="6" t="s">
        <v>830</v>
      </c>
      <c r="D8" s="12" t="s">
        <v>831</v>
      </c>
      <c r="E8" s="13" t="s">
        <v>832</v>
      </c>
      <c r="F8" s="13" t="s">
        <v>827</v>
      </c>
      <c r="G8" s="13" t="s">
        <v>392</v>
      </c>
      <c r="H8" s="13" t="s">
        <v>352</v>
      </c>
      <c r="I8" s="13" t="s">
        <v>393</v>
      </c>
      <c r="J8" s="13"/>
      <c r="K8" s="13" t="s">
        <v>355</v>
      </c>
      <c r="L8" s="13" t="s">
        <v>355</v>
      </c>
      <c r="M8" s="13" t="s">
        <v>567</v>
      </c>
      <c r="N8" s="9"/>
    </row>
    <row r="9" ht="26" spans="1:14">
      <c r="A9" s="5" t="s">
        <v>833</v>
      </c>
      <c r="B9" s="5" t="s">
        <v>346</v>
      </c>
      <c r="C9" s="6" t="s">
        <v>834</v>
      </c>
      <c r="D9" s="12" t="s">
        <v>835</v>
      </c>
      <c r="E9" s="13" t="s">
        <v>836</v>
      </c>
      <c r="F9" s="13" t="s">
        <v>837</v>
      </c>
      <c r="G9" s="13" t="s">
        <v>392</v>
      </c>
      <c r="H9" s="13" t="s">
        <v>352</v>
      </c>
      <c r="I9" s="13" t="s">
        <v>393</v>
      </c>
      <c r="J9" s="13" t="s">
        <v>363</v>
      </c>
      <c r="K9" s="13" t="s">
        <v>355</v>
      </c>
      <c r="L9" s="13" t="s">
        <v>355</v>
      </c>
      <c r="M9" s="13" t="s">
        <v>356</v>
      </c>
      <c r="N9" s="9"/>
    </row>
    <row r="10" ht="39" spans="1:14">
      <c r="A10" s="5"/>
      <c r="B10" s="5" t="s">
        <v>373</v>
      </c>
      <c r="C10" s="6" t="s">
        <v>838</v>
      </c>
      <c r="D10" s="12" t="s">
        <v>839</v>
      </c>
      <c r="E10" s="13"/>
      <c r="F10" s="13"/>
      <c r="G10" s="13"/>
      <c r="H10" s="13"/>
      <c r="I10" s="13"/>
      <c r="J10" s="13"/>
      <c r="K10" s="13"/>
      <c r="L10" s="13"/>
      <c r="M10" s="13"/>
      <c r="N10" s="9" t="s">
        <v>376</v>
      </c>
    </row>
    <row r="11" ht="39" spans="1:14">
      <c r="A11" s="5"/>
      <c r="B11" s="5" t="s">
        <v>346</v>
      </c>
      <c r="C11" s="6" t="s">
        <v>840</v>
      </c>
      <c r="D11" s="12" t="s">
        <v>841</v>
      </c>
      <c r="E11" s="13" t="s">
        <v>842</v>
      </c>
      <c r="F11" s="13" t="s">
        <v>837</v>
      </c>
      <c r="G11" s="13" t="s">
        <v>392</v>
      </c>
      <c r="H11" s="13" t="s">
        <v>352</v>
      </c>
      <c r="I11" s="13" t="s">
        <v>393</v>
      </c>
      <c r="J11" s="13"/>
      <c r="K11" s="13" t="s">
        <v>355</v>
      </c>
      <c r="L11" s="13" t="s">
        <v>355</v>
      </c>
      <c r="M11" s="13" t="s">
        <v>356</v>
      </c>
      <c r="N11" s="9"/>
    </row>
    <row r="12" ht="26" spans="1:14">
      <c r="A12" s="5" t="s">
        <v>843</v>
      </c>
      <c r="B12" s="5" t="s">
        <v>387</v>
      </c>
      <c r="C12" s="12" t="s">
        <v>844</v>
      </c>
      <c r="D12" s="12" t="s">
        <v>845</v>
      </c>
      <c r="E12" s="13" t="s">
        <v>846</v>
      </c>
      <c r="F12" s="13" t="s">
        <v>847</v>
      </c>
      <c r="G12" s="13" t="s">
        <v>392</v>
      </c>
      <c r="H12" s="13" t="s">
        <v>352</v>
      </c>
      <c r="I12" s="13" t="s">
        <v>393</v>
      </c>
      <c r="J12" s="13" t="s">
        <v>363</v>
      </c>
      <c r="K12" s="13" t="s">
        <v>355</v>
      </c>
      <c r="L12" s="13" t="s">
        <v>355</v>
      </c>
      <c r="M12" s="13" t="s">
        <v>567</v>
      </c>
      <c r="N12" s="9"/>
    </row>
    <row r="13" ht="39" spans="1:14">
      <c r="A13" s="5"/>
      <c r="B13" s="5" t="s">
        <v>373</v>
      </c>
      <c r="C13" s="12" t="s">
        <v>848</v>
      </c>
      <c r="D13" s="12" t="s">
        <v>849</v>
      </c>
      <c r="E13" s="13"/>
      <c r="F13" s="13"/>
      <c r="G13" s="13"/>
      <c r="H13" s="13"/>
      <c r="I13" s="13"/>
      <c r="J13" s="13"/>
      <c r="K13" s="13"/>
      <c r="L13" s="13"/>
      <c r="M13" s="13"/>
      <c r="N13" s="9" t="s">
        <v>376</v>
      </c>
    </row>
    <row r="14" ht="39" spans="1:14">
      <c r="A14" s="5"/>
      <c r="B14" s="5" t="s">
        <v>387</v>
      </c>
      <c r="C14" s="12" t="s">
        <v>850</v>
      </c>
      <c r="D14" s="12" t="s">
        <v>851</v>
      </c>
      <c r="E14" s="13"/>
      <c r="F14" s="13"/>
      <c r="G14" s="13"/>
      <c r="H14" s="13"/>
      <c r="I14" s="13"/>
      <c r="J14" s="13"/>
      <c r="K14" s="13"/>
      <c r="L14" s="13"/>
      <c r="M14" s="13"/>
      <c r="N14" s="9"/>
    </row>
    <row r="15" ht="26" spans="1:14">
      <c r="A15" s="5"/>
      <c r="B15" s="5" t="s">
        <v>387</v>
      </c>
      <c r="C15" s="12" t="s">
        <v>852</v>
      </c>
      <c r="D15" s="12" t="s">
        <v>853</v>
      </c>
      <c r="E15" s="13" t="s">
        <v>854</v>
      </c>
      <c r="F15" s="13" t="s">
        <v>847</v>
      </c>
      <c r="G15" s="13" t="s">
        <v>392</v>
      </c>
      <c r="H15" s="13" t="s">
        <v>352</v>
      </c>
      <c r="I15" s="13" t="s">
        <v>393</v>
      </c>
      <c r="J15" s="13"/>
      <c r="K15" s="13" t="s">
        <v>355</v>
      </c>
      <c r="L15" s="13" t="s">
        <v>355</v>
      </c>
      <c r="M15" s="13" t="s">
        <v>567</v>
      </c>
      <c r="N15" s="9"/>
    </row>
    <row r="16" ht="24" customHeight="1" spans="1:14">
      <c r="A16" s="5" t="s">
        <v>855</v>
      </c>
      <c r="B16" s="5" t="s">
        <v>346</v>
      </c>
      <c r="C16" s="12" t="s">
        <v>856</v>
      </c>
      <c r="D16" s="12" t="s">
        <v>857</v>
      </c>
      <c r="E16" s="13" t="s">
        <v>858</v>
      </c>
      <c r="F16" s="13" t="s">
        <v>859</v>
      </c>
      <c r="G16" s="13" t="s">
        <v>860</v>
      </c>
      <c r="H16" s="13" t="s">
        <v>352</v>
      </c>
      <c r="I16" s="13" t="s">
        <v>861</v>
      </c>
      <c r="J16" s="13" t="s">
        <v>363</v>
      </c>
      <c r="K16" s="13" t="s">
        <v>355</v>
      </c>
      <c r="L16" s="13" t="s">
        <v>355</v>
      </c>
      <c r="M16" s="13" t="s">
        <v>356</v>
      </c>
      <c r="N16" s="13" t="s">
        <v>862</v>
      </c>
    </row>
    <row r="17" ht="26" spans="1:14">
      <c r="A17" s="5" t="s">
        <v>863</v>
      </c>
      <c r="B17" s="5" t="s">
        <v>346</v>
      </c>
      <c r="C17" s="12" t="s">
        <v>864</v>
      </c>
      <c r="D17" s="12" t="s">
        <v>865</v>
      </c>
      <c r="E17" s="13" t="s">
        <v>866</v>
      </c>
      <c r="F17" s="13" t="s">
        <v>867</v>
      </c>
      <c r="G17" s="5" t="s">
        <v>436</v>
      </c>
      <c r="H17" s="5" t="s">
        <v>352</v>
      </c>
      <c r="I17" s="5" t="s">
        <v>393</v>
      </c>
      <c r="J17" s="13" t="s">
        <v>363</v>
      </c>
      <c r="K17" s="5" t="s">
        <v>355</v>
      </c>
      <c r="L17" s="5" t="s">
        <v>355</v>
      </c>
      <c r="M17" s="5" t="s">
        <v>567</v>
      </c>
      <c r="N17" s="14"/>
    </row>
    <row r="18" ht="39" spans="1:14">
      <c r="A18" s="5"/>
      <c r="B18" s="5" t="s">
        <v>373</v>
      </c>
      <c r="C18" s="12" t="s">
        <v>868</v>
      </c>
      <c r="D18" s="12" t="s">
        <v>869</v>
      </c>
      <c r="E18" s="13"/>
      <c r="F18" s="13"/>
      <c r="G18" s="5"/>
      <c r="H18" s="5"/>
      <c r="I18" s="5"/>
      <c r="J18" s="13"/>
      <c r="K18" s="5"/>
      <c r="L18" s="5"/>
      <c r="M18" s="5"/>
      <c r="N18" s="9" t="s">
        <v>376</v>
      </c>
    </row>
    <row r="19" ht="39" spans="1:14">
      <c r="A19" s="5"/>
      <c r="B19" s="5" t="s">
        <v>346</v>
      </c>
      <c r="C19" s="12" t="s">
        <v>870</v>
      </c>
      <c r="D19" s="12" t="s">
        <v>871</v>
      </c>
      <c r="E19" s="13" t="s">
        <v>872</v>
      </c>
      <c r="F19" s="13" t="s">
        <v>867</v>
      </c>
      <c r="G19" s="5" t="s">
        <v>436</v>
      </c>
      <c r="H19" s="5" t="s">
        <v>352</v>
      </c>
      <c r="I19" s="5" t="s">
        <v>393</v>
      </c>
      <c r="J19" s="5"/>
      <c r="K19" s="5" t="s">
        <v>355</v>
      </c>
      <c r="L19" s="5" t="s">
        <v>355</v>
      </c>
      <c r="M19" s="5" t="s">
        <v>567</v>
      </c>
      <c r="N19" s="14"/>
    </row>
    <row r="20" ht="26" spans="1:14">
      <c r="A20" s="5" t="s">
        <v>873</v>
      </c>
      <c r="B20" s="5" t="s">
        <v>387</v>
      </c>
      <c r="C20" s="6" t="s">
        <v>874</v>
      </c>
      <c r="D20" s="12" t="s">
        <v>875</v>
      </c>
      <c r="E20" s="13" t="s">
        <v>876</v>
      </c>
      <c r="F20" s="13" t="s">
        <v>877</v>
      </c>
      <c r="G20" s="5" t="s">
        <v>392</v>
      </c>
      <c r="H20" s="5" t="s">
        <v>352</v>
      </c>
      <c r="I20" s="5" t="s">
        <v>393</v>
      </c>
      <c r="J20" s="13" t="s">
        <v>363</v>
      </c>
      <c r="K20" s="5" t="s">
        <v>355</v>
      </c>
      <c r="L20" s="5" t="s">
        <v>355</v>
      </c>
      <c r="M20" s="5" t="s">
        <v>567</v>
      </c>
      <c r="N20" s="14"/>
    </row>
    <row r="21" ht="39" spans="1:14">
      <c r="A21" s="5"/>
      <c r="B21" s="5" t="s">
        <v>373</v>
      </c>
      <c r="C21" s="6" t="s">
        <v>878</v>
      </c>
      <c r="D21" s="12" t="s">
        <v>879</v>
      </c>
      <c r="E21" s="13"/>
      <c r="F21" s="13"/>
      <c r="G21" s="5"/>
      <c r="H21" s="5"/>
      <c r="I21" s="5"/>
      <c r="J21" s="13"/>
      <c r="K21" s="5"/>
      <c r="L21" s="5"/>
      <c r="M21" s="5"/>
      <c r="N21" s="9" t="s">
        <v>376</v>
      </c>
    </row>
    <row r="22" ht="39" spans="1:14">
      <c r="A22" s="5"/>
      <c r="B22" s="5" t="s">
        <v>387</v>
      </c>
      <c r="C22" s="6" t="s">
        <v>880</v>
      </c>
      <c r="D22" s="12" t="s">
        <v>881</v>
      </c>
      <c r="E22" s="13"/>
      <c r="F22" s="13"/>
      <c r="G22" s="5"/>
      <c r="H22" s="5"/>
      <c r="I22" s="5"/>
      <c r="J22" s="5"/>
      <c r="K22" s="5"/>
      <c r="L22" s="5"/>
      <c r="M22" s="5"/>
      <c r="N22" s="14"/>
    </row>
    <row r="23" ht="26" spans="1:14">
      <c r="A23" s="5" t="s">
        <v>873</v>
      </c>
      <c r="B23" s="5" t="s">
        <v>387</v>
      </c>
      <c r="C23" s="6" t="s">
        <v>882</v>
      </c>
      <c r="D23" s="12" t="s">
        <v>883</v>
      </c>
      <c r="E23" s="13" t="s">
        <v>884</v>
      </c>
      <c r="F23" s="13" t="s">
        <v>877</v>
      </c>
      <c r="G23" s="5" t="s">
        <v>392</v>
      </c>
      <c r="H23" s="5" t="s">
        <v>352</v>
      </c>
      <c r="I23" s="5" t="s">
        <v>393</v>
      </c>
      <c r="J23" s="5"/>
      <c r="K23" s="5" t="s">
        <v>355</v>
      </c>
      <c r="L23" s="5" t="s">
        <v>355</v>
      </c>
      <c r="M23" s="5" t="s">
        <v>567</v>
      </c>
      <c r="N23" s="14"/>
    </row>
    <row r="24" ht="26" spans="1:14">
      <c r="A24" s="5" t="s">
        <v>885</v>
      </c>
      <c r="B24" s="5" t="s">
        <v>346</v>
      </c>
      <c r="C24" s="6" t="s">
        <v>886</v>
      </c>
      <c r="D24" s="12" t="s">
        <v>887</v>
      </c>
      <c r="E24" s="13" t="s">
        <v>888</v>
      </c>
      <c r="F24" s="13" t="s">
        <v>889</v>
      </c>
      <c r="G24" s="5" t="s">
        <v>392</v>
      </c>
      <c r="H24" s="5" t="s">
        <v>352</v>
      </c>
      <c r="I24" s="5" t="s">
        <v>393</v>
      </c>
      <c r="J24" s="13" t="s">
        <v>363</v>
      </c>
      <c r="K24" s="5" t="s">
        <v>355</v>
      </c>
      <c r="L24" s="5" t="s">
        <v>355</v>
      </c>
      <c r="M24" s="5" t="s">
        <v>567</v>
      </c>
      <c r="N24" s="14"/>
    </row>
    <row r="25" ht="39" spans="1:14">
      <c r="A25" s="5"/>
      <c r="B25" s="5" t="s">
        <v>373</v>
      </c>
      <c r="C25" s="6" t="s">
        <v>890</v>
      </c>
      <c r="D25" s="12" t="s">
        <v>891</v>
      </c>
      <c r="E25" s="13"/>
      <c r="F25" s="13"/>
      <c r="G25" s="5"/>
      <c r="H25" s="5"/>
      <c r="I25" s="5"/>
      <c r="J25" s="13"/>
      <c r="K25" s="5"/>
      <c r="L25" s="5"/>
      <c r="M25" s="5"/>
      <c r="N25" s="9" t="s">
        <v>376</v>
      </c>
    </row>
    <row r="26" ht="39" spans="1:14">
      <c r="A26" s="5" t="s">
        <v>885</v>
      </c>
      <c r="B26" s="5" t="s">
        <v>346</v>
      </c>
      <c r="C26" s="6" t="s">
        <v>892</v>
      </c>
      <c r="D26" s="12" t="s">
        <v>893</v>
      </c>
      <c r="E26" s="13" t="s">
        <v>894</v>
      </c>
      <c r="F26" s="13" t="s">
        <v>889</v>
      </c>
      <c r="G26" s="5" t="s">
        <v>392</v>
      </c>
      <c r="H26" s="5" t="s">
        <v>352</v>
      </c>
      <c r="I26" s="5" t="s">
        <v>393</v>
      </c>
      <c r="J26" s="5"/>
      <c r="K26" s="5" t="s">
        <v>355</v>
      </c>
      <c r="L26" s="5" t="s">
        <v>355</v>
      </c>
      <c r="M26" s="5" t="s">
        <v>567</v>
      </c>
      <c r="N26" s="14"/>
    </row>
    <row r="27" ht="26" spans="1:14">
      <c r="A27" s="5" t="s">
        <v>895</v>
      </c>
      <c r="B27" s="5" t="s">
        <v>346</v>
      </c>
      <c r="C27" s="6" t="s">
        <v>896</v>
      </c>
      <c r="D27" s="12" t="s">
        <v>897</v>
      </c>
      <c r="E27" s="13" t="s">
        <v>898</v>
      </c>
      <c r="F27" s="13" t="s">
        <v>899</v>
      </c>
      <c r="G27" s="5" t="s">
        <v>392</v>
      </c>
      <c r="H27" s="5" t="s">
        <v>352</v>
      </c>
      <c r="I27" s="5" t="s">
        <v>393</v>
      </c>
      <c r="J27" s="13" t="s">
        <v>363</v>
      </c>
      <c r="K27" s="5" t="s">
        <v>355</v>
      </c>
      <c r="L27" s="5" t="s">
        <v>355</v>
      </c>
      <c r="M27" s="5" t="s">
        <v>356</v>
      </c>
      <c r="N27" s="14"/>
    </row>
    <row r="28" ht="39" spans="1:14">
      <c r="A28" s="5"/>
      <c r="B28" s="5" t="s">
        <v>373</v>
      </c>
      <c r="C28" s="6" t="s">
        <v>900</v>
      </c>
      <c r="D28" s="12" t="s">
        <v>901</v>
      </c>
      <c r="E28" s="13"/>
      <c r="F28" s="13"/>
      <c r="G28" s="5"/>
      <c r="H28" s="5"/>
      <c r="I28" s="5"/>
      <c r="J28" s="13"/>
      <c r="K28" s="5"/>
      <c r="L28" s="5"/>
      <c r="M28" s="5"/>
      <c r="N28" s="9" t="s">
        <v>376</v>
      </c>
    </row>
    <row r="29" ht="39" spans="1:14">
      <c r="A29" s="5" t="s">
        <v>895</v>
      </c>
      <c r="B29" s="5" t="s">
        <v>346</v>
      </c>
      <c r="C29" s="6" t="s">
        <v>902</v>
      </c>
      <c r="D29" s="12" t="s">
        <v>903</v>
      </c>
      <c r="E29" s="13"/>
      <c r="F29" s="13" t="s">
        <v>899</v>
      </c>
      <c r="G29" s="5" t="s">
        <v>392</v>
      </c>
      <c r="H29" s="5" t="s">
        <v>352</v>
      </c>
      <c r="I29" s="5" t="s">
        <v>393</v>
      </c>
      <c r="J29" s="5"/>
      <c r="K29" s="5" t="s">
        <v>355</v>
      </c>
      <c r="L29" s="5" t="s">
        <v>355</v>
      </c>
      <c r="M29" s="5" t="s">
        <v>356</v>
      </c>
      <c r="N29" s="14"/>
    </row>
    <row r="30" ht="26" spans="1:14">
      <c r="A30" s="5" t="s">
        <v>904</v>
      </c>
      <c r="B30" s="5" t="s">
        <v>387</v>
      </c>
      <c r="C30" s="6" t="s">
        <v>905</v>
      </c>
      <c r="D30" s="12" t="s">
        <v>906</v>
      </c>
      <c r="E30" s="13" t="s">
        <v>907</v>
      </c>
      <c r="F30" s="13" t="s">
        <v>908</v>
      </c>
      <c r="G30" s="5" t="s">
        <v>392</v>
      </c>
      <c r="H30" s="5" t="s">
        <v>352</v>
      </c>
      <c r="I30" s="5" t="s">
        <v>393</v>
      </c>
      <c r="J30" s="13" t="s">
        <v>363</v>
      </c>
      <c r="K30" s="5" t="s">
        <v>355</v>
      </c>
      <c r="L30" s="5" t="s">
        <v>355</v>
      </c>
      <c r="M30" s="5" t="s">
        <v>567</v>
      </c>
      <c r="N30" s="14"/>
    </row>
    <row r="31" ht="39" spans="1:14">
      <c r="A31" s="5"/>
      <c r="B31" s="5" t="s">
        <v>373</v>
      </c>
      <c r="C31" s="6" t="s">
        <v>909</v>
      </c>
      <c r="D31" s="12" t="s">
        <v>910</v>
      </c>
      <c r="E31" s="13"/>
      <c r="F31" s="13"/>
      <c r="G31" s="5"/>
      <c r="H31" s="5"/>
      <c r="I31" s="5"/>
      <c r="J31" s="13"/>
      <c r="K31" s="5"/>
      <c r="L31" s="5"/>
      <c r="M31" s="5"/>
      <c r="N31" s="9" t="s">
        <v>376</v>
      </c>
    </row>
    <row r="32" ht="39" spans="1:14">
      <c r="A32" s="5"/>
      <c r="B32" s="5" t="s">
        <v>387</v>
      </c>
      <c r="C32" s="6" t="s">
        <v>911</v>
      </c>
      <c r="D32" s="12" t="s">
        <v>912</v>
      </c>
      <c r="E32" s="13"/>
      <c r="F32" s="13"/>
      <c r="G32" s="5"/>
      <c r="H32" s="5"/>
      <c r="I32" s="5"/>
      <c r="J32" s="5"/>
      <c r="K32" s="5"/>
      <c r="L32" s="5"/>
      <c r="M32" s="5"/>
      <c r="N32" s="14"/>
    </row>
    <row r="33" ht="26" spans="1:14">
      <c r="A33" s="5" t="s">
        <v>904</v>
      </c>
      <c r="B33" s="5" t="s">
        <v>387</v>
      </c>
      <c r="C33" s="6" t="s">
        <v>913</v>
      </c>
      <c r="D33" s="12" t="s">
        <v>914</v>
      </c>
      <c r="E33" s="13" t="s">
        <v>915</v>
      </c>
      <c r="F33" s="13" t="s">
        <v>908</v>
      </c>
      <c r="G33" s="5" t="s">
        <v>392</v>
      </c>
      <c r="H33" s="5" t="s">
        <v>352</v>
      </c>
      <c r="I33" s="5" t="s">
        <v>393</v>
      </c>
      <c r="J33" s="5"/>
      <c r="K33" s="5" t="s">
        <v>355</v>
      </c>
      <c r="L33" s="5" t="s">
        <v>355</v>
      </c>
      <c r="M33" s="5" t="s">
        <v>567</v>
      </c>
      <c r="N33" s="14"/>
    </row>
    <row r="34" ht="24" customHeight="1" spans="1:14">
      <c r="A34" s="5" t="s">
        <v>916</v>
      </c>
      <c r="B34" s="5" t="s">
        <v>346</v>
      </c>
      <c r="C34" s="12" t="s">
        <v>917</v>
      </c>
      <c r="D34" s="12" t="s">
        <v>918</v>
      </c>
      <c r="E34" s="13" t="s">
        <v>919</v>
      </c>
      <c r="F34" s="13" t="s">
        <v>920</v>
      </c>
      <c r="G34" s="5" t="s">
        <v>860</v>
      </c>
      <c r="H34" s="5" t="s">
        <v>352</v>
      </c>
      <c r="I34" s="5" t="s">
        <v>861</v>
      </c>
      <c r="J34" s="13" t="s">
        <v>363</v>
      </c>
      <c r="K34" s="5" t="s">
        <v>355</v>
      </c>
      <c r="L34" s="5" t="s">
        <v>355</v>
      </c>
      <c r="M34" s="5" t="s">
        <v>356</v>
      </c>
      <c r="N34" s="13" t="s">
        <v>862</v>
      </c>
    </row>
    <row r="35" ht="26" spans="1:14">
      <c r="A35" s="5" t="s">
        <v>921</v>
      </c>
      <c r="B35" s="5" t="s">
        <v>346</v>
      </c>
      <c r="C35" s="12" t="s">
        <v>922</v>
      </c>
      <c r="D35" s="12" t="s">
        <v>923</v>
      </c>
      <c r="E35" s="13" t="s">
        <v>924</v>
      </c>
      <c r="F35" s="13" t="s">
        <v>925</v>
      </c>
      <c r="G35" s="5" t="s">
        <v>436</v>
      </c>
      <c r="H35" s="5" t="s">
        <v>352</v>
      </c>
      <c r="I35" s="5" t="s">
        <v>393</v>
      </c>
      <c r="J35" s="13" t="s">
        <v>363</v>
      </c>
      <c r="K35" s="5" t="s">
        <v>355</v>
      </c>
      <c r="L35" s="5" t="s">
        <v>355</v>
      </c>
      <c r="M35" s="5" t="s">
        <v>567</v>
      </c>
      <c r="N35" s="14"/>
    </row>
    <row r="36" ht="39" spans="1:14">
      <c r="A36" s="5"/>
      <c r="B36" s="5" t="s">
        <v>373</v>
      </c>
      <c r="C36" s="12" t="s">
        <v>926</v>
      </c>
      <c r="D36" s="12" t="s">
        <v>927</v>
      </c>
      <c r="E36" s="13"/>
      <c r="F36" s="13"/>
      <c r="G36" s="5"/>
      <c r="H36" s="5"/>
      <c r="I36" s="5"/>
      <c r="J36" s="13"/>
      <c r="K36" s="5"/>
      <c r="L36" s="5"/>
      <c r="M36" s="5"/>
      <c r="N36" s="9" t="s">
        <v>376</v>
      </c>
    </row>
    <row r="37" ht="39" spans="1:14">
      <c r="A37" s="5" t="s">
        <v>921</v>
      </c>
      <c r="B37" s="5" t="s">
        <v>346</v>
      </c>
      <c r="C37" s="12" t="s">
        <v>928</v>
      </c>
      <c r="D37" s="12" t="s">
        <v>929</v>
      </c>
      <c r="E37" s="13" t="s">
        <v>924</v>
      </c>
      <c r="F37" s="13" t="s">
        <v>925</v>
      </c>
      <c r="G37" s="5" t="s">
        <v>436</v>
      </c>
      <c r="H37" s="5" t="s">
        <v>352</v>
      </c>
      <c r="I37" s="5" t="s">
        <v>393</v>
      </c>
      <c r="J37" s="5"/>
      <c r="K37" s="5" t="s">
        <v>355</v>
      </c>
      <c r="L37" s="5" t="s">
        <v>355</v>
      </c>
      <c r="M37" s="5" t="s">
        <v>567</v>
      </c>
      <c r="N37" s="14"/>
    </row>
    <row r="38" ht="26" spans="1:14">
      <c r="A38" s="5" t="s">
        <v>930</v>
      </c>
      <c r="B38" s="5" t="s">
        <v>387</v>
      </c>
      <c r="C38" s="6" t="s">
        <v>931</v>
      </c>
      <c r="D38" s="12" t="s">
        <v>932</v>
      </c>
      <c r="E38" s="13" t="s">
        <v>933</v>
      </c>
      <c r="F38" s="13" t="s">
        <v>934</v>
      </c>
      <c r="G38" s="5" t="s">
        <v>392</v>
      </c>
      <c r="H38" s="5" t="s">
        <v>352</v>
      </c>
      <c r="I38" s="5" t="s">
        <v>393</v>
      </c>
      <c r="J38" s="13" t="s">
        <v>363</v>
      </c>
      <c r="K38" s="5" t="s">
        <v>355</v>
      </c>
      <c r="L38" s="5" t="s">
        <v>355</v>
      </c>
      <c r="M38" s="5" t="s">
        <v>356</v>
      </c>
      <c r="N38" s="14"/>
    </row>
    <row r="39" ht="39" spans="1:14">
      <c r="A39" s="5"/>
      <c r="B39" s="5" t="s">
        <v>373</v>
      </c>
      <c r="C39" s="6" t="s">
        <v>935</v>
      </c>
      <c r="D39" s="12" t="s">
        <v>936</v>
      </c>
      <c r="E39" s="13"/>
      <c r="F39" s="13"/>
      <c r="G39" s="5"/>
      <c r="H39" s="5"/>
      <c r="I39" s="5"/>
      <c r="J39" s="13"/>
      <c r="K39" s="5"/>
      <c r="L39" s="5"/>
      <c r="M39" s="5"/>
      <c r="N39" s="9" t="s">
        <v>376</v>
      </c>
    </row>
    <row r="40" ht="26" spans="1:14">
      <c r="A40" s="5"/>
      <c r="B40" s="5" t="s">
        <v>387</v>
      </c>
      <c r="C40" s="6" t="s">
        <v>937</v>
      </c>
      <c r="D40" s="12" t="s">
        <v>938</v>
      </c>
      <c r="E40" s="13"/>
      <c r="F40" s="13"/>
      <c r="G40" s="5"/>
      <c r="H40" s="5"/>
      <c r="I40" s="5"/>
      <c r="J40" s="5"/>
      <c r="K40" s="5"/>
      <c r="L40" s="5"/>
      <c r="M40" s="5"/>
      <c r="N40" s="14"/>
    </row>
    <row r="41" ht="26" spans="1:14">
      <c r="A41" s="5" t="s">
        <v>930</v>
      </c>
      <c r="B41" s="5" t="s">
        <v>387</v>
      </c>
      <c r="C41" s="6" t="s">
        <v>939</v>
      </c>
      <c r="D41" s="12" t="s">
        <v>940</v>
      </c>
      <c r="E41" s="13" t="s">
        <v>941</v>
      </c>
      <c r="F41" s="13" t="s">
        <v>934</v>
      </c>
      <c r="G41" s="5" t="s">
        <v>392</v>
      </c>
      <c r="H41" s="5" t="s">
        <v>352</v>
      </c>
      <c r="I41" s="5" t="s">
        <v>393</v>
      </c>
      <c r="J41" s="5"/>
      <c r="K41" s="5" t="s">
        <v>355</v>
      </c>
      <c r="L41" s="5" t="s">
        <v>355</v>
      </c>
      <c r="M41" s="5" t="s">
        <v>356</v>
      </c>
      <c r="N41" s="14"/>
    </row>
    <row r="42" ht="26" spans="1:14">
      <c r="A42" s="5" t="s">
        <v>942</v>
      </c>
      <c r="B42" s="5" t="s">
        <v>387</v>
      </c>
      <c r="C42" s="6" t="s">
        <v>943</v>
      </c>
      <c r="D42" s="12" t="s">
        <v>944</v>
      </c>
      <c r="E42" s="13" t="s">
        <v>945</v>
      </c>
      <c r="F42" s="13" t="s">
        <v>946</v>
      </c>
      <c r="G42" s="5" t="s">
        <v>392</v>
      </c>
      <c r="H42" s="5" t="s">
        <v>352</v>
      </c>
      <c r="I42" s="5" t="s">
        <v>393</v>
      </c>
      <c r="J42" s="13" t="s">
        <v>363</v>
      </c>
      <c r="K42" s="5" t="s">
        <v>355</v>
      </c>
      <c r="L42" s="5" t="s">
        <v>355</v>
      </c>
      <c r="M42" s="5" t="s">
        <v>356</v>
      </c>
      <c r="N42" s="14"/>
    </row>
    <row r="43" ht="26" spans="1:14">
      <c r="A43" s="5"/>
      <c r="B43" s="5" t="s">
        <v>373</v>
      </c>
      <c r="C43" s="6" t="s">
        <v>947</v>
      </c>
      <c r="D43" s="12" t="s">
        <v>948</v>
      </c>
      <c r="E43" s="13"/>
      <c r="F43" s="13"/>
      <c r="G43" s="5"/>
      <c r="H43" s="5"/>
      <c r="I43" s="5"/>
      <c r="J43" s="13"/>
      <c r="K43" s="5"/>
      <c r="L43" s="5"/>
      <c r="M43" s="5"/>
      <c r="N43" s="13" t="s">
        <v>376</v>
      </c>
    </row>
    <row r="44" ht="26" spans="1:14">
      <c r="A44" s="5"/>
      <c r="B44" s="5" t="s">
        <v>373</v>
      </c>
      <c r="C44" s="6" t="s">
        <v>949</v>
      </c>
      <c r="D44" s="12" t="s">
        <v>950</v>
      </c>
      <c r="E44" s="13"/>
      <c r="F44" s="13"/>
      <c r="G44" s="5"/>
      <c r="H44" s="5"/>
      <c r="I44" s="5"/>
      <c r="J44" s="5"/>
      <c r="K44" s="5"/>
      <c r="L44" s="5"/>
      <c r="M44" s="5"/>
      <c r="N44" s="13"/>
    </row>
    <row r="45" ht="26" spans="1:14">
      <c r="A45" s="5" t="s">
        <v>942</v>
      </c>
      <c r="B45" s="5" t="s">
        <v>387</v>
      </c>
      <c r="C45" s="6" t="s">
        <v>951</v>
      </c>
      <c r="D45" s="12" t="s">
        <v>952</v>
      </c>
      <c r="E45" s="13" t="s">
        <v>953</v>
      </c>
      <c r="F45" s="13" t="s">
        <v>946</v>
      </c>
      <c r="G45" s="5" t="s">
        <v>392</v>
      </c>
      <c r="H45" s="5" t="s">
        <v>352</v>
      </c>
      <c r="I45" s="5" t="s">
        <v>393</v>
      </c>
      <c r="J45" s="5"/>
      <c r="K45" s="5" t="s">
        <v>355</v>
      </c>
      <c r="L45" s="5" t="s">
        <v>355</v>
      </c>
      <c r="M45" s="5" t="s">
        <v>356</v>
      </c>
      <c r="N45" s="14"/>
    </row>
    <row r="46" ht="26" spans="1:14">
      <c r="A46" s="5" t="s">
        <v>954</v>
      </c>
      <c r="B46" s="5" t="s">
        <v>346</v>
      </c>
      <c r="C46" s="6" t="s">
        <v>955</v>
      </c>
      <c r="D46" s="12" t="s">
        <v>956</v>
      </c>
      <c r="E46" s="13" t="s">
        <v>957</v>
      </c>
      <c r="F46" s="13" t="s">
        <v>958</v>
      </c>
      <c r="G46" s="5" t="s">
        <v>392</v>
      </c>
      <c r="H46" s="5" t="s">
        <v>352</v>
      </c>
      <c r="I46" s="5" t="s">
        <v>393</v>
      </c>
      <c r="J46" s="13" t="s">
        <v>363</v>
      </c>
      <c r="K46" s="5" t="s">
        <v>355</v>
      </c>
      <c r="L46" s="5" t="s">
        <v>355</v>
      </c>
      <c r="M46" s="5" t="s">
        <v>356</v>
      </c>
      <c r="N46" s="5"/>
    </row>
    <row r="47" ht="39" spans="1:14">
      <c r="A47" s="5" t="s">
        <v>954</v>
      </c>
      <c r="B47" s="5" t="s">
        <v>346</v>
      </c>
      <c r="C47" s="6" t="s">
        <v>959</v>
      </c>
      <c r="D47" s="12" t="s">
        <v>960</v>
      </c>
      <c r="E47" s="13" t="s">
        <v>957</v>
      </c>
      <c r="F47" s="13" t="s">
        <v>958</v>
      </c>
      <c r="G47" s="5" t="s">
        <v>392</v>
      </c>
      <c r="H47" s="5" t="s">
        <v>352</v>
      </c>
      <c r="I47" s="5" t="s">
        <v>393</v>
      </c>
      <c r="J47" s="5"/>
      <c r="K47" s="5" t="s">
        <v>355</v>
      </c>
      <c r="L47" s="5" t="s">
        <v>355</v>
      </c>
      <c r="M47" s="5" t="s">
        <v>356</v>
      </c>
      <c r="N47" s="5"/>
    </row>
    <row r="48" ht="26" spans="1:14">
      <c r="A48" s="5" t="s">
        <v>961</v>
      </c>
      <c r="B48" s="5" t="s">
        <v>346</v>
      </c>
      <c r="C48" s="6" t="s">
        <v>962</v>
      </c>
      <c r="D48" s="12" t="s">
        <v>963</v>
      </c>
      <c r="E48" s="13" t="s">
        <v>964</v>
      </c>
      <c r="F48" s="13" t="s">
        <v>965</v>
      </c>
      <c r="G48" s="5" t="s">
        <v>392</v>
      </c>
      <c r="H48" s="5" t="s">
        <v>352</v>
      </c>
      <c r="I48" s="5" t="s">
        <v>393</v>
      </c>
      <c r="J48" s="13" t="s">
        <v>363</v>
      </c>
      <c r="K48" s="5" t="s">
        <v>355</v>
      </c>
      <c r="L48" s="5" t="s">
        <v>355</v>
      </c>
      <c r="M48" s="5" t="s">
        <v>356</v>
      </c>
      <c r="N48" s="5"/>
    </row>
    <row r="49" ht="26" spans="1:14">
      <c r="A49" s="5" t="s">
        <v>961</v>
      </c>
      <c r="B49" s="5" t="s">
        <v>346</v>
      </c>
      <c r="C49" s="6" t="s">
        <v>966</v>
      </c>
      <c r="D49" s="12" t="s">
        <v>967</v>
      </c>
      <c r="E49" s="13" t="s">
        <v>964</v>
      </c>
      <c r="F49" s="13" t="s">
        <v>965</v>
      </c>
      <c r="G49" s="5" t="s">
        <v>392</v>
      </c>
      <c r="H49" s="5" t="s">
        <v>352</v>
      </c>
      <c r="I49" s="5" t="s">
        <v>393</v>
      </c>
      <c r="J49" s="5"/>
      <c r="K49" s="5" t="s">
        <v>355</v>
      </c>
      <c r="L49" s="5" t="s">
        <v>355</v>
      </c>
      <c r="M49" s="5" t="s">
        <v>356</v>
      </c>
      <c r="N49" s="5"/>
    </row>
    <row r="50" ht="26" spans="1:14">
      <c r="A50" s="5" t="s">
        <v>968</v>
      </c>
      <c r="B50" s="5" t="s">
        <v>346</v>
      </c>
      <c r="C50" s="6" t="s">
        <v>969</v>
      </c>
      <c r="D50" s="12" t="s">
        <v>970</v>
      </c>
      <c r="E50" s="13" t="s">
        <v>971</v>
      </c>
      <c r="F50" s="13" t="s">
        <v>972</v>
      </c>
      <c r="G50" s="5" t="s">
        <v>392</v>
      </c>
      <c r="H50" s="5" t="s">
        <v>352</v>
      </c>
      <c r="I50" s="5" t="s">
        <v>393</v>
      </c>
      <c r="J50" s="13" t="s">
        <v>363</v>
      </c>
      <c r="K50" s="5" t="s">
        <v>355</v>
      </c>
      <c r="L50" s="5" t="s">
        <v>355</v>
      </c>
      <c r="M50" s="5" t="s">
        <v>356</v>
      </c>
      <c r="N50" s="5"/>
    </row>
    <row r="51" ht="39" spans="1:14">
      <c r="A51" s="5" t="s">
        <v>968</v>
      </c>
      <c r="B51" s="5" t="s">
        <v>346</v>
      </c>
      <c r="C51" s="6" t="s">
        <v>973</v>
      </c>
      <c r="D51" s="12" t="s">
        <v>974</v>
      </c>
      <c r="E51" s="13" t="s">
        <v>971</v>
      </c>
      <c r="F51" s="13" t="s">
        <v>972</v>
      </c>
      <c r="G51" s="5" t="s">
        <v>392</v>
      </c>
      <c r="H51" s="5" t="s">
        <v>352</v>
      </c>
      <c r="I51" s="5" t="s">
        <v>393</v>
      </c>
      <c r="J51" s="5"/>
      <c r="K51" s="5" t="s">
        <v>355</v>
      </c>
      <c r="L51" s="5" t="s">
        <v>355</v>
      </c>
      <c r="M51" s="5" t="s">
        <v>356</v>
      </c>
      <c r="N51" s="5"/>
    </row>
    <row r="52" ht="26" spans="1:14">
      <c r="A52" s="5" t="s">
        <v>975</v>
      </c>
      <c r="B52" s="5" t="s">
        <v>346</v>
      </c>
      <c r="C52" s="6" t="s">
        <v>976</v>
      </c>
      <c r="D52" s="12" t="s">
        <v>977</v>
      </c>
      <c r="E52" s="13" t="s">
        <v>978</v>
      </c>
      <c r="F52" s="13" t="s">
        <v>965</v>
      </c>
      <c r="G52" s="5" t="s">
        <v>392</v>
      </c>
      <c r="H52" s="5" t="s">
        <v>352</v>
      </c>
      <c r="I52" s="5" t="s">
        <v>393</v>
      </c>
      <c r="J52" s="13" t="s">
        <v>363</v>
      </c>
      <c r="K52" s="5" t="s">
        <v>355</v>
      </c>
      <c r="L52" s="5" t="s">
        <v>355</v>
      </c>
      <c r="M52" s="5" t="s">
        <v>356</v>
      </c>
      <c r="N52" s="5"/>
    </row>
    <row r="53" ht="26" spans="1:14">
      <c r="A53" s="5" t="s">
        <v>975</v>
      </c>
      <c r="B53" s="5" t="s">
        <v>346</v>
      </c>
      <c r="C53" s="6" t="s">
        <v>979</v>
      </c>
      <c r="D53" s="12" t="s">
        <v>980</v>
      </c>
      <c r="E53" s="13" t="s">
        <v>978</v>
      </c>
      <c r="F53" s="13" t="s">
        <v>965</v>
      </c>
      <c r="G53" s="5" t="s">
        <v>392</v>
      </c>
      <c r="H53" s="5" t="s">
        <v>352</v>
      </c>
      <c r="I53" s="5" t="s">
        <v>393</v>
      </c>
      <c r="J53" s="5"/>
      <c r="K53" s="5" t="s">
        <v>355</v>
      </c>
      <c r="L53" s="5" t="s">
        <v>355</v>
      </c>
      <c r="M53" s="5" t="s">
        <v>356</v>
      </c>
      <c r="N53" s="5"/>
    </row>
    <row r="54" spans="1:14">
      <c r="A54" s="5" t="s">
        <v>981</v>
      </c>
      <c r="B54" s="5" t="s">
        <v>346</v>
      </c>
      <c r="C54" s="6" t="s">
        <v>982</v>
      </c>
      <c r="D54" s="12" t="s">
        <v>983</v>
      </c>
      <c r="E54" s="7" t="s">
        <v>984</v>
      </c>
      <c r="F54" s="7" t="s">
        <v>985</v>
      </c>
      <c r="G54" s="5" t="s">
        <v>392</v>
      </c>
      <c r="H54" s="5" t="s">
        <v>352</v>
      </c>
      <c r="I54" s="5" t="s">
        <v>393</v>
      </c>
      <c r="J54" s="13" t="s">
        <v>363</v>
      </c>
      <c r="K54" s="5" t="s">
        <v>355</v>
      </c>
      <c r="L54" s="5" t="s">
        <v>355</v>
      </c>
      <c r="M54" s="5" t="s">
        <v>567</v>
      </c>
      <c r="N54" s="5"/>
    </row>
    <row r="55" ht="26" spans="1:14">
      <c r="A55" s="5"/>
      <c r="B55" s="5" t="s">
        <v>396</v>
      </c>
      <c r="C55" s="6" t="s">
        <v>986</v>
      </c>
      <c r="D55" s="12" t="s">
        <v>987</v>
      </c>
      <c r="E55" s="7"/>
      <c r="F55" s="7"/>
      <c r="G55" s="5"/>
      <c r="H55" s="5"/>
      <c r="I55" s="5"/>
      <c r="J55" s="5"/>
      <c r="K55" s="5"/>
      <c r="L55" s="5"/>
      <c r="M55" s="5"/>
      <c r="N55" s="5"/>
    </row>
    <row r="56" ht="26" spans="1:14">
      <c r="A56" s="5"/>
      <c r="B56" s="5" t="s">
        <v>396</v>
      </c>
      <c r="C56" s="6" t="s">
        <v>988</v>
      </c>
      <c r="D56" s="12" t="s">
        <v>989</v>
      </c>
      <c r="E56" s="7"/>
      <c r="F56" s="7"/>
      <c r="G56" s="5"/>
      <c r="H56" s="5"/>
      <c r="I56" s="5"/>
      <c r="J56" s="5"/>
      <c r="K56" s="5"/>
      <c r="L56" s="5"/>
      <c r="M56" s="5"/>
      <c r="N56" s="5"/>
    </row>
    <row r="57" ht="24" customHeight="1" spans="1:14">
      <c r="A57" s="5" t="s">
        <v>990</v>
      </c>
      <c r="B57" s="5" t="s">
        <v>346</v>
      </c>
      <c r="C57" s="6" t="s">
        <v>991</v>
      </c>
      <c r="D57" s="12" t="s">
        <v>992</v>
      </c>
      <c r="E57" s="13" t="s">
        <v>993</v>
      </c>
      <c r="F57" s="13" t="s">
        <v>994</v>
      </c>
      <c r="G57" s="5" t="s">
        <v>392</v>
      </c>
      <c r="H57" s="5" t="s">
        <v>352</v>
      </c>
      <c r="I57" s="5" t="s">
        <v>393</v>
      </c>
      <c r="J57" s="13" t="s">
        <v>363</v>
      </c>
      <c r="K57" s="5" t="s">
        <v>355</v>
      </c>
      <c r="L57" s="5" t="s">
        <v>355</v>
      </c>
      <c r="M57" s="5" t="s">
        <v>567</v>
      </c>
      <c r="N57" s="5"/>
    </row>
    <row r="58" ht="24" customHeight="1" spans="1:14">
      <c r="A58" s="5" t="s">
        <v>995</v>
      </c>
      <c r="B58" s="5" t="s">
        <v>346</v>
      </c>
      <c r="C58" s="6" t="s">
        <v>996</v>
      </c>
      <c r="D58" s="12" t="s">
        <v>997</v>
      </c>
      <c r="E58" s="13" t="s">
        <v>998</v>
      </c>
      <c r="F58" s="13" t="s">
        <v>999</v>
      </c>
      <c r="G58" s="5" t="s">
        <v>392</v>
      </c>
      <c r="H58" s="5" t="s">
        <v>352</v>
      </c>
      <c r="I58" s="5" t="s">
        <v>393</v>
      </c>
      <c r="J58" s="13" t="s">
        <v>363</v>
      </c>
      <c r="K58" s="5" t="s">
        <v>355</v>
      </c>
      <c r="L58" s="5" t="s">
        <v>355</v>
      </c>
      <c r="M58" s="5" t="s">
        <v>356</v>
      </c>
      <c r="N58" s="5"/>
    </row>
    <row r="59" ht="26" spans="1:14">
      <c r="A59" s="5" t="s">
        <v>1000</v>
      </c>
      <c r="B59" s="5" t="s">
        <v>346</v>
      </c>
      <c r="C59" s="6" t="s">
        <v>1001</v>
      </c>
      <c r="D59" s="12" t="s">
        <v>1002</v>
      </c>
      <c r="E59" s="7" t="s">
        <v>1003</v>
      </c>
      <c r="F59" s="7" t="s">
        <v>1004</v>
      </c>
      <c r="G59" s="5" t="s">
        <v>392</v>
      </c>
      <c r="H59" s="5" t="s">
        <v>352</v>
      </c>
      <c r="I59" s="5" t="s">
        <v>393</v>
      </c>
      <c r="J59" s="13" t="s">
        <v>363</v>
      </c>
      <c r="K59" s="5" t="s">
        <v>355</v>
      </c>
      <c r="L59" s="5" t="s">
        <v>355</v>
      </c>
      <c r="M59" s="5" t="s">
        <v>567</v>
      </c>
      <c r="N59" s="5"/>
    </row>
    <row r="60" ht="39" spans="1:14">
      <c r="A60" s="5"/>
      <c r="B60" s="5" t="s">
        <v>396</v>
      </c>
      <c r="C60" s="6" t="s">
        <v>1005</v>
      </c>
      <c r="D60" s="9" t="s">
        <v>1006</v>
      </c>
      <c r="E60" s="7"/>
      <c r="F60" s="7"/>
      <c r="G60" s="5"/>
      <c r="H60" s="5"/>
      <c r="I60" s="5"/>
      <c r="J60" s="5"/>
      <c r="K60" s="5"/>
      <c r="L60" s="5"/>
      <c r="M60" s="5"/>
      <c r="N60" s="5"/>
    </row>
    <row r="61" ht="78" spans="1:14">
      <c r="A61" s="13" t="s">
        <v>1007</v>
      </c>
      <c r="B61" s="5" t="s">
        <v>387</v>
      </c>
      <c r="C61" s="6" t="s">
        <v>1008</v>
      </c>
      <c r="D61" s="12" t="s">
        <v>1009</v>
      </c>
      <c r="E61" s="13" t="s">
        <v>1010</v>
      </c>
      <c r="F61" s="13" t="s">
        <v>1011</v>
      </c>
      <c r="G61" s="13" t="s">
        <v>392</v>
      </c>
      <c r="H61" s="13" t="s">
        <v>352</v>
      </c>
      <c r="I61" s="13" t="s">
        <v>393</v>
      </c>
      <c r="J61" s="13" t="s">
        <v>363</v>
      </c>
      <c r="K61" s="13" t="s">
        <v>355</v>
      </c>
      <c r="L61" s="13" t="s">
        <v>355</v>
      </c>
      <c r="M61" s="13" t="s">
        <v>356</v>
      </c>
      <c r="N61" s="13"/>
    </row>
    <row r="62" ht="130" spans="1:14">
      <c r="A62" s="13" t="s">
        <v>1012</v>
      </c>
      <c r="B62" s="5" t="s">
        <v>464</v>
      </c>
      <c r="C62" s="12" t="s">
        <v>1013</v>
      </c>
      <c r="D62" s="12" t="s">
        <v>1014</v>
      </c>
      <c r="E62" s="13" t="s">
        <v>1015</v>
      </c>
      <c r="F62" s="13" t="s">
        <v>1016</v>
      </c>
      <c r="G62" s="13" t="s">
        <v>392</v>
      </c>
      <c r="H62" s="13" t="s">
        <v>352</v>
      </c>
      <c r="I62" s="13" t="s">
        <v>393</v>
      </c>
      <c r="J62" s="13" t="s">
        <v>363</v>
      </c>
      <c r="K62" s="13" t="s">
        <v>355</v>
      </c>
      <c r="L62" s="13" t="s">
        <v>355</v>
      </c>
      <c r="M62" s="13" t="s">
        <v>356</v>
      </c>
      <c r="N62" s="13" t="s">
        <v>1017</v>
      </c>
    </row>
    <row r="63" ht="130" spans="1:14">
      <c r="A63" s="13" t="s">
        <v>1018</v>
      </c>
      <c r="B63" s="5" t="s">
        <v>464</v>
      </c>
      <c r="C63" s="12" t="s">
        <v>1019</v>
      </c>
      <c r="D63" s="12" t="s">
        <v>1020</v>
      </c>
      <c r="E63" s="13" t="s">
        <v>1021</v>
      </c>
      <c r="F63" s="13" t="s">
        <v>1022</v>
      </c>
      <c r="G63" s="13" t="s">
        <v>392</v>
      </c>
      <c r="H63" s="13" t="s">
        <v>352</v>
      </c>
      <c r="I63" s="13" t="s">
        <v>393</v>
      </c>
      <c r="J63" s="13" t="s">
        <v>363</v>
      </c>
      <c r="K63" s="13" t="s">
        <v>355</v>
      </c>
      <c r="L63" s="13" t="s">
        <v>355</v>
      </c>
      <c r="M63" s="13" t="s">
        <v>356</v>
      </c>
      <c r="N63" s="13" t="s">
        <v>1017</v>
      </c>
    </row>
    <row r="64" ht="65" spans="1:14">
      <c r="A64" s="13" t="s">
        <v>1023</v>
      </c>
      <c r="B64" s="5" t="s">
        <v>346</v>
      </c>
      <c r="C64" s="12" t="s">
        <v>1024</v>
      </c>
      <c r="D64" s="12" t="s">
        <v>1025</v>
      </c>
      <c r="E64" s="13" t="s">
        <v>1026</v>
      </c>
      <c r="F64" s="13" t="s">
        <v>1027</v>
      </c>
      <c r="G64" s="13" t="s">
        <v>392</v>
      </c>
      <c r="H64" s="13" t="s">
        <v>352</v>
      </c>
      <c r="I64" s="13" t="s">
        <v>478</v>
      </c>
      <c r="J64" s="13" t="s">
        <v>363</v>
      </c>
      <c r="K64" s="13" t="s">
        <v>355</v>
      </c>
      <c r="L64" s="13" t="s">
        <v>355</v>
      </c>
      <c r="M64" s="13" t="s">
        <v>356</v>
      </c>
      <c r="N64" s="13"/>
    </row>
    <row r="65" ht="52" spans="1:14">
      <c r="A65" s="13" t="s">
        <v>1028</v>
      </c>
      <c r="B65" s="5" t="s">
        <v>346</v>
      </c>
      <c r="C65" s="12" t="s">
        <v>1029</v>
      </c>
      <c r="D65" s="12" t="s">
        <v>1030</v>
      </c>
      <c r="E65" s="13" t="s">
        <v>1031</v>
      </c>
      <c r="F65" s="13" t="s">
        <v>1032</v>
      </c>
      <c r="G65" s="13" t="s">
        <v>392</v>
      </c>
      <c r="H65" s="13" t="s">
        <v>352</v>
      </c>
      <c r="I65" s="13" t="s">
        <v>478</v>
      </c>
      <c r="J65" s="13" t="s">
        <v>363</v>
      </c>
      <c r="K65" s="13" t="s">
        <v>355</v>
      </c>
      <c r="L65" s="13" t="s">
        <v>355</v>
      </c>
      <c r="M65" s="13" t="s">
        <v>356</v>
      </c>
      <c r="N65" s="13"/>
    </row>
  </sheetData>
  <autoFilter ref="A1:N65">
    <extLst/>
  </autoFilter>
  <mergeCells count="187">
    <mergeCell ref="A2:A5"/>
    <mergeCell ref="A6:A8"/>
    <mergeCell ref="A9:A11"/>
    <mergeCell ref="A12:A15"/>
    <mergeCell ref="A17:A19"/>
    <mergeCell ref="A20:A23"/>
    <mergeCell ref="A24:A26"/>
    <mergeCell ref="A27:A29"/>
    <mergeCell ref="A30:A33"/>
    <mergeCell ref="A35:A37"/>
    <mergeCell ref="A38:A41"/>
    <mergeCell ref="A42:A45"/>
    <mergeCell ref="A46:A47"/>
    <mergeCell ref="A48:A49"/>
    <mergeCell ref="A50:A51"/>
    <mergeCell ref="A52:A53"/>
    <mergeCell ref="A54:A56"/>
    <mergeCell ref="A59:A60"/>
    <mergeCell ref="E2:E5"/>
    <mergeCell ref="E6:E8"/>
    <mergeCell ref="E9:E11"/>
    <mergeCell ref="E12:E15"/>
    <mergeCell ref="E17:E19"/>
    <mergeCell ref="E20:E23"/>
    <mergeCell ref="E24:E26"/>
    <mergeCell ref="E27:E29"/>
    <mergeCell ref="E30:E33"/>
    <mergeCell ref="E35:E37"/>
    <mergeCell ref="E38:E41"/>
    <mergeCell ref="E42:E45"/>
    <mergeCell ref="E46:E47"/>
    <mergeCell ref="E48:E49"/>
    <mergeCell ref="E50:E51"/>
    <mergeCell ref="E52:E53"/>
    <mergeCell ref="E54:E56"/>
    <mergeCell ref="E59:E60"/>
    <mergeCell ref="F2:F5"/>
    <mergeCell ref="F6:F8"/>
    <mergeCell ref="F9:F11"/>
    <mergeCell ref="F12:F15"/>
    <mergeCell ref="F17:F19"/>
    <mergeCell ref="F20:F23"/>
    <mergeCell ref="F24:F26"/>
    <mergeCell ref="F27:F29"/>
    <mergeCell ref="F30:F33"/>
    <mergeCell ref="F35:F37"/>
    <mergeCell ref="F38:F41"/>
    <mergeCell ref="F42:F45"/>
    <mergeCell ref="F46:F47"/>
    <mergeCell ref="F48:F49"/>
    <mergeCell ref="F50:F51"/>
    <mergeCell ref="F52:F53"/>
    <mergeCell ref="F54:F56"/>
    <mergeCell ref="F59:F60"/>
    <mergeCell ref="G2:G5"/>
    <mergeCell ref="G6:G8"/>
    <mergeCell ref="G9:G11"/>
    <mergeCell ref="G12:G15"/>
    <mergeCell ref="G17:G19"/>
    <mergeCell ref="G20:G23"/>
    <mergeCell ref="G24:G26"/>
    <mergeCell ref="G27:G29"/>
    <mergeCell ref="G30:G33"/>
    <mergeCell ref="G35:G37"/>
    <mergeCell ref="G38:G41"/>
    <mergeCell ref="G42:G45"/>
    <mergeCell ref="G46:G47"/>
    <mergeCell ref="G48:G49"/>
    <mergeCell ref="G50:G51"/>
    <mergeCell ref="G52:G53"/>
    <mergeCell ref="G54:G56"/>
    <mergeCell ref="G59:G60"/>
    <mergeCell ref="H2:H5"/>
    <mergeCell ref="H6:H8"/>
    <mergeCell ref="H9:H11"/>
    <mergeCell ref="H12:H15"/>
    <mergeCell ref="H17:H19"/>
    <mergeCell ref="H20:H23"/>
    <mergeCell ref="H24:H26"/>
    <mergeCell ref="H27:H29"/>
    <mergeCell ref="H30:H33"/>
    <mergeCell ref="H35:H37"/>
    <mergeCell ref="H38:H41"/>
    <mergeCell ref="H42:H45"/>
    <mergeCell ref="H46:H47"/>
    <mergeCell ref="H48:H49"/>
    <mergeCell ref="H50:H51"/>
    <mergeCell ref="H52:H53"/>
    <mergeCell ref="H54:H56"/>
    <mergeCell ref="H59:H60"/>
    <mergeCell ref="I2:I5"/>
    <mergeCell ref="I6:I8"/>
    <mergeCell ref="I9:I11"/>
    <mergeCell ref="I12:I15"/>
    <mergeCell ref="I17:I19"/>
    <mergeCell ref="I20:I23"/>
    <mergeCell ref="I24:I26"/>
    <mergeCell ref="I27:I29"/>
    <mergeCell ref="I30:I33"/>
    <mergeCell ref="I35:I37"/>
    <mergeCell ref="I38:I41"/>
    <mergeCell ref="I42:I45"/>
    <mergeCell ref="I46:I47"/>
    <mergeCell ref="I48:I49"/>
    <mergeCell ref="I50:I51"/>
    <mergeCell ref="I52:I53"/>
    <mergeCell ref="I54:I56"/>
    <mergeCell ref="I59:I60"/>
    <mergeCell ref="J2:J5"/>
    <mergeCell ref="J6:J8"/>
    <mergeCell ref="J9:J11"/>
    <mergeCell ref="J12:J15"/>
    <mergeCell ref="J17:J19"/>
    <mergeCell ref="J20:J23"/>
    <mergeCell ref="J24:J26"/>
    <mergeCell ref="J27:J29"/>
    <mergeCell ref="J30:J33"/>
    <mergeCell ref="J35:J37"/>
    <mergeCell ref="J38:J41"/>
    <mergeCell ref="J42:J45"/>
    <mergeCell ref="J46:J47"/>
    <mergeCell ref="J48:J49"/>
    <mergeCell ref="J50:J51"/>
    <mergeCell ref="J52:J53"/>
    <mergeCell ref="J54:J56"/>
    <mergeCell ref="J59:J60"/>
    <mergeCell ref="K2:K5"/>
    <mergeCell ref="K6:K8"/>
    <mergeCell ref="K9:K11"/>
    <mergeCell ref="K12:K15"/>
    <mergeCell ref="K17:K19"/>
    <mergeCell ref="K20:K23"/>
    <mergeCell ref="K24:K26"/>
    <mergeCell ref="K27:K29"/>
    <mergeCell ref="K30:K33"/>
    <mergeCell ref="K35:K37"/>
    <mergeCell ref="K38:K41"/>
    <mergeCell ref="K42:K45"/>
    <mergeCell ref="K46:K47"/>
    <mergeCell ref="K48:K49"/>
    <mergeCell ref="K50:K51"/>
    <mergeCell ref="K52:K53"/>
    <mergeCell ref="K54:K56"/>
    <mergeCell ref="K59:K60"/>
    <mergeCell ref="L2:L5"/>
    <mergeCell ref="L6:L8"/>
    <mergeCell ref="L9:L11"/>
    <mergeCell ref="L12:L15"/>
    <mergeCell ref="L17:L19"/>
    <mergeCell ref="L20:L23"/>
    <mergeCell ref="L24:L26"/>
    <mergeCell ref="L27:L29"/>
    <mergeCell ref="L30:L33"/>
    <mergeCell ref="L35:L37"/>
    <mergeCell ref="L38:L41"/>
    <mergeCell ref="L42:L45"/>
    <mergeCell ref="L46:L47"/>
    <mergeCell ref="L48:L49"/>
    <mergeCell ref="L50:L51"/>
    <mergeCell ref="L52:L53"/>
    <mergeCell ref="L54:L56"/>
    <mergeCell ref="L59:L60"/>
    <mergeCell ref="M2:M5"/>
    <mergeCell ref="M6:M8"/>
    <mergeCell ref="M9:M11"/>
    <mergeCell ref="M12:M15"/>
    <mergeCell ref="M17:M19"/>
    <mergeCell ref="M20:M23"/>
    <mergeCell ref="M24:M26"/>
    <mergeCell ref="M27:M29"/>
    <mergeCell ref="M30:M33"/>
    <mergeCell ref="M35:M37"/>
    <mergeCell ref="M38:M41"/>
    <mergeCell ref="M42:M45"/>
    <mergeCell ref="M46:M47"/>
    <mergeCell ref="M48:M49"/>
    <mergeCell ref="M50:M51"/>
    <mergeCell ref="M52:M53"/>
    <mergeCell ref="M54:M56"/>
    <mergeCell ref="M59:M60"/>
    <mergeCell ref="N43:N44"/>
    <mergeCell ref="N46:N47"/>
    <mergeCell ref="N48:N49"/>
    <mergeCell ref="N50:N51"/>
    <mergeCell ref="N52:N53"/>
    <mergeCell ref="N54:N56"/>
    <mergeCell ref="N59:N60"/>
  </mergeCells>
  <pageMargins left="0.75" right="0.75" top="1" bottom="1" header="0.5" footer="0.5"/>
  <pageSetup paperSize="9" orientation="portrait"/>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N36"/>
  <sheetViews>
    <sheetView topLeftCell="B17" workbookViewId="0">
      <selection activeCell="D29" sqref="D29"/>
    </sheetView>
  </sheetViews>
  <sheetFormatPr defaultColWidth="9" defaultRowHeight="13"/>
  <cols>
    <col min="1" max="2" width="9" style="1"/>
    <col min="3" max="3" width="30.43" style="1" customWidth="1"/>
    <col min="4" max="4" width="29.86" style="1" customWidth="1"/>
    <col min="5" max="5" width="30.57" style="1" customWidth="1"/>
    <col min="6" max="6" width="40.57" style="1" customWidth="1"/>
    <col min="7" max="7" width="9" style="1"/>
    <col min="8" max="8" width="9.64" style="1" customWidth="1"/>
    <col min="9" max="9" width="9" style="1"/>
    <col min="10" max="10" width="14.57" style="1" customWidth="1"/>
    <col min="11" max="12" width="9" style="1"/>
    <col min="13" max="13" width="9.64" style="1" customWidth="1"/>
    <col min="14" max="14" width="28.21" style="1" customWidth="1"/>
    <col min="15" max="16384" width="9" style="1"/>
  </cols>
  <sheetData>
    <row r="1" spans="1:14">
      <c r="A1" s="107" t="s">
        <v>332</v>
      </c>
      <c r="B1" s="4" t="s">
        <v>333</v>
      </c>
      <c r="C1" s="4" t="s">
        <v>334</v>
      </c>
      <c r="D1" s="4" t="s">
        <v>335</v>
      </c>
      <c r="E1" s="4" t="s">
        <v>336</v>
      </c>
      <c r="F1" s="4" t="s">
        <v>337</v>
      </c>
      <c r="G1" s="4" t="s">
        <v>338</v>
      </c>
      <c r="H1" s="4" t="s">
        <v>339</v>
      </c>
      <c r="I1" s="4" t="s">
        <v>340</v>
      </c>
      <c r="J1" s="4" t="s">
        <v>341</v>
      </c>
      <c r="K1" s="4" t="s">
        <v>342</v>
      </c>
      <c r="L1" s="4" t="s">
        <v>343</v>
      </c>
      <c r="M1" s="4" t="s">
        <v>344</v>
      </c>
      <c r="N1" s="4" t="s">
        <v>235</v>
      </c>
    </row>
    <row r="2" ht="52" spans="1:14">
      <c r="A2" s="5" t="s">
        <v>1033</v>
      </c>
      <c r="B2" s="5" t="s">
        <v>396</v>
      </c>
      <c r="C2" s="6" t="s">
        <v>1034</v>
      </c>
      <c r="D2" s="6" t="s">
        <v>1035</v>
      </c>
      <c r="E2" s="6" t="s">
        <v>1036</v>
      </c>
      <c r="F2" s="6" t="s">
        <v>1037</v>
      </c>
      <c r="G2" s="5" t="s">
        <v>392</v>
      </c>
      <c r="H2" s="5" t="s">
        <v>352</v>
      </c>
      <c r="I2" s="5" t="s">
        <v>393</v>
      </c>
      <c r="J2" s="13" t="s">
        <v>363</v>
      </c>
      <c r="K2" s="5" t="s">
        <v>355</v>
      </c>
      <c r="L2" s="5" t="s">
        <v>355</v>
      </c>
      <c r="M2" s="5" t="s">
        <v>567</v>
      </c>
      <c r="N2" s="13" t="s">
        <v>1038</v>
      </c>
    </row>
    <row r="3" ht="52" spans="1:14">
      <c r="A3" s="5" t="s">
        <v>1039</v>
      </c>
      <c r="B3" s="5" t="s">
        <v>396</v>
      </c>
      <c r="C3" s="6" t="s">
        <v>1040</v>
      </c>
      <c r="D3" s="6" t="s">
        <v>1041</v>
      </c>
      <c r="E3" s="6" t="s">
        <v>1042</v>
      </c>
      <c r="F3" s="6" t="s">
        <v>1043</v>
      </c>
      <c r="G3" s="5" t="s">
        <v>392</v>
      </c>
      <c r="H3" s="5" t="s">
        <v>352</v>
      </c>
      <c r="I3" s="5" t="s">
        <v>393</v>
      </c>
      <c r="J3" s="13" t="s">
        <v>363</v>
      </c>
      <c r="K3" s="5" t="s">
        <v>355</v>
      </c>
      <c r="L3" s="5" t="s">
        <v>355</v>
      </c>
      <c r="M3" s="5" t="s">
        <v>567</v>
      </c>
      <c r="N3" s="13" t="s">
        <v>1044</v>
      </c>
    </row>
    <row r="4" ht="44.85" customHeight="1" spans="1:14">
      <c r="A4" s="5" t="s">
        <v>1045</v>
      </c>
      <c r="B4" s="5" t="s">
        <v>396</v>
      </c>
      <c r="C4" s="6" t="s">
        <v>1046</v>
      </c>
      <c r="D4" s="6" t="s">
        <v>1047</v>
      </c>
      <c r="E4" s="7" t="s">
        <v>1048</v>
      </c>
      <c r="F4" s="7" t="s">
        <v>1049</v>
      </c>
      <c r="G4" s="5" t="s">
        <v>392</v>
      </c>
      <c r="H4" s="5" t="s">
        <v>352</v>
      </c>
      <c r="I4" s="5" t="s">
        <v>393</v>
      </c>
      <c r="J4" s="13" t="s">
        <v>363</v>
      </c>
      <c r="K4" s="5" t="s">
        <v>355</v>
      </c>
      <c r="L4" s="5" t="s">
        <v>355</v>
      </c>
      <c r="M4" s="5" t="s">
        <v>567</v>
      </c>
      <c r="N4" s="13" t="s">
        <v>1050</v>
      </c>
    </row>
    <row r="5" ht="41.45" customHeight="1" spans="1:14">
      <c r="A5" s="5"/>
      <c r="B5" s="5" t="s">
        <v>396</v>
      </c>
      <c r="C5" s="6" t="s">
        <v>1051</v>
      </c>
      <c r="D5" s="6" t="s">
        <v>1052</v>
      </c>
      <c r="E5" s="7"/>
      <c r="F5" s="7"/>
      <c r="G5" s="5"/>
      <c r="H5" s="5"/>
      <c r="I5" s="5"/>
      <c r="J5" s="5"/>
      <c r="K5" s="5"/>
      <c r="L5" s="5"/>
      <c r="M5" s="5"/>
      <c r="N5" s="13"/>
    </row>
    <row r="6" ht="65" spans="1:14">
      <c r="A6" s="5" t="s">
        <v>1053</v>
      </c>
      <c r="B6" s="5" t="s">
        <v>396</v>
      </c>
      <c r="C6" s="6" t="s">
        <v>1054</v>
      </c>
      <c r="D6" s="6" t="s">
        <v>1055</v>
      </c>
      <c r="E6" s="6" t="s">
        <v>1056</v>
      </c>
      <c r="F6" s="6" t="s">
        <v>1057</v>
      </c>
      <c r="G6" s="5" t="s">
        <v>392</v>
      </c>
      <c r="H6" s="5" t="s">
        <v>352</v>
      </c>
      <c r="I6" s="5" t="s">
        <v>393</v>
      </c>
      <c r="J6" s="13" t="s">
        <v>363</v>
      </c>
      <c r="K6" s="5" t="s">
        <v>355</v>
      </c>
      <c r="L6" s="5" t="s">
        <v>355</v>
      </c>
      <c r="M6" s="5" t="s">
        <v>567</v>
      </c>
      <c r="N6" s="13" t="s">
        <v>1058</v>
      </c>
    </row>
    <row r="7" ht="69" customHeight="1" spans="1:14">
      <c r="A7" s="8" t="s">
        <v>1059</v>
      </c>
      <c r="B7" s="5" t="s">
        <v>387</v>
      </c>
      <c r="C7" s="12" t="s">
        <v>1060</v>
      </c>
      <c r="D7" s="12" t="s">
        <v>1061</v>
      </c>
      <c r="E7" s="19" t="s">
        <v>1062</v>
      </c>
      <c r="F7" s="55" t="s">
        <v>1063</v>
      </c>
      <c r="G7" s="19" t="s">
        <v>860</v>
      </c>
      <c r="H7" s="19" t="s">
        <v>352</v>
      </c>
      <c r="I7" s="19" t="s">
        <v>861</v>
      </c>
      <c r="J7" s="19" t="s">
        <v>363</v>
      </c>
      <c r="K7" s="19" t="s">
        <v>355</v>
      </c>
      <c r="L7" s="19" t="s">
        <v>355</v>
      </c>
      <c r="M7" s="19" t="s">
        <v>356</v>
      </c>
      <c r="N7" s="19" t="s">
        <v>862</v>
      </c>
    </row>
    <row r="8" ht="69" customHeight="1" spans="1:14">
      <c r="A8" s="11"/>
      <c r="B8" s="5" t="s">
        <v>387</v>
      </c>
      <c r="C8" s="12" t="s">
        <v>1064</v>
      </c>
      <c r="D8" s="12" t="s">
        <v>1065</v>
      </c>
      <c r="E8" s="59"/>
      <c r="F8" s="57"/>
      <c r="G8" s="59" t="s">
        <v>860</v>
      </c>
      <c r="H8" s="59" t="s">
        <v>352</v>
      </c>
      <c r="I8" s="59" t="s">
        <v>861</v>
      </c>
      <c r="J8" s="59"/>
      <c r="K8" s="59" t="s">
        <v>355</v>
      </c>
      <c r="L8" s="59" t="s">
        <v>355</v>
      </c>
      <c r="M8" s="59" t="s">
        <v>356</v>
      </c>
      <c r="N8" s="59" t="s">
        <v>1066</v>
      </c>
    </row>
    <row r="9" ht="52" spans="1:14">
      <c r="A9" s="5" t="s">
        <v>1067</v>
      </c>
      <c r="B9" s="5" t="s">
        <v>436</v>
      </c>
      <c r="C9" s="6" t="s">
        <v>1068</v>
      </c>
      <c r="D9" s="6" t="s">
        <v>1069</v>
      </c>
      <c r="E9" s="6" t="s">
        <v>1070</v>
      </c>
      <c r="F9" s="6" t="s">
        <v>1071</v>
      </c>
      <c r="G9" s="5" t="s">
        <v>392</v>
      </c>
      <c r="H9" s="5" t="s">
        <v>352</v>
      </c>
      <c r="I9" s="5" t="s">
        <v>393</v>
      </c>
      <c r="J9" s="13" t="s">
        <v>363</v>
      </c>
      <c r="K9" s="5" t="s">
        <v>355</v>
      </c>
      <c r="L9" s="5" t="s">
        <v>355</v>
      </c>
      <c r="M9" s="5" t="s">
        <v>356</v>
      </c>
      <c r="N9" s="19" t="s">
        <v>1072</v>
      </c>
    </row>
    <row r="10" ht="52" spans="1:14">
      <c r="A10" s="5" t="s">
        <v>1073</v>
      </c>
      <c r="B10" s="5" t="s">
        <v>436</v>
      </c>
      <c r="C10" s="6" t="s">
        <v>1074</v>
      </c>
      <c r="D10" s="6" t="s">
        <v>1075</v>
      </c>
      <c r="E10" s="6" t="s">
        <v>1076</v>
      </c>
      <c r="F10" s="6" t="s">
        <v>1077</v>
      </c>
      <c r="G10" s="5" t="s">
        <v>392</v>
      </c>
      <c r="H10" s="5" t="s">
        <v>352</v>
      </c>
      <c r="I10" s="5" t="s">
        <v>393</v>
      </c>
      <c r="J10" s="13" t="s">
        <v>363</v>
      </c>
      <c r="K10" s="5" t="s">
        <v>355</v>
      </c>
      <c r="L10" s="5" t="s">
        <v>355</v>
      </c>
      <c r="M10" s="5" t="s">
        <v>356</v>
      </c>
      <c r="N10" s="58"/>
    </row>
    <row r="11" ht="31.35" customHeight="1" spans="1:14">
      <c r="A11" s="5" t="s">
        <v>1078</v>
      </c>
      <c r="B11" s="5" t="s">
        <v>436</v>
      </c>
      <c r="C11" s="6" t="s">
        <v>1079</v>
      </c>
      <c r="D11" s="6" t="s">
        <v>1080</v>
      </c>
      <c r="E11" s="7" t="s">
        <v>1081</v>
      </c>
      <c r="F11" s="7" t="s">
        <v>1082</v>
      </c>
      <c r="G11" s="5" t="s">
        <v>392</v>
      </c>
      <c r="H11" s="5" t="s">
        <v>352</v>
      </c>
      <c r="I11" s="5" t="s">
        <v>393</v>
      </c>
      <c r="J11" s="13" t="s">
        <v>363</v>
      </c>
      <c r="K11" s="5" t="s">
        <v>355</v>
      </c>
      <c r="L11" s="5" t="s">
        <v>355</v>
      </c>
      <c r="M11" s="5" t="s">
        <v>356</v>
      </c>
      <c r="N11" s="58"/>
    </row>
    <row r="12" ht="26" customHeight="1" spans="1:14">
      <c r="A12" s="5"/>
      <c r="B12" s="5" t="s">
        <v>436</v>
      </c>
      <c r="C12" s="6" t="s">
        <v>1083</v>
      </c>
      <c r="D12" s="6" t="s">
        <v>1084</v>
      </c>
      <c r="E12" s="7"/>
      <c r="F12" s="7"/>
      <c r="G12" s="5"/>
      <c r="H12" s="5"/>
      <c r="I12" s="5"/>
      <c r="J12" s="5"/>
      <c r="K12" s="5"/>
      <c r="L12" s="5"/>
      <c r="M12" s="5"/>
      <c r="N12" s="58"/>
    </row>
    <row r="13" ht="65" spans="1:14">
      <c r="A13" s="5" t="s">
        <v>1085</v>
      </c>
      <c r="B13" s="5" t="s">
        <v>436</v>
      </c>
      <c r="C13" s="6" t="s">
        <v>1086</v>
      </c>
      <c r="D13" s="6" t="s">
        <v>1087</v>
      </c>
      <c r="E13" s="6" t="s">
        <v>1088</v>
      </c>
      <c r="F13" s="6" t="s">
        <v>1089</v>
      </c>
      <c r="G13" s="5" t="s">
        <v>392</v>
      </c>
      <c r="H13" s="5" t="s">
        <v>352</v>
      </c>
      <c r="I13" s="5" t="s">
        <v>393</v>
      </c>
      <c r="J13" s="13" t="s">
        <v>363</v>
      </c>
      <c r="K13" s="5" t="s">
        <v>355</v>
      </c>
      <c r="L13" s="5" t="s">
        <v>355</v>
      </c>
      <c r="M13" s="5" t="s">
        <v>356</v>
      </c>
      <c r="N13" s="59"/>
    </row>
    <row r="14" ht="78" spans="1:14">
      <c r="A14" s="5" t="s">
        <v>1090</v>
      </c>
      <c r="B14" s="5" t="s">
        <v>436</v>
      </c>
      <c r="C14" s="12" t="s">
        <v>1091</v>
      </c>
      <c r="D14" s="12" t="s">
        <v>1092</v>
      </c>
      <c r="E14" s="12" t="s">
        <v>1093</v>
      </c>
      <c r="F14" s="6" t="s">
        <v>1094</v>
      </c>
      <c r="G14" s="5" t="s">
        <v>860</v>
      </c>
      <c r="H14" s="5" t="s">
        <v>352</v>
      </c>
      <c r="I14" s="5" t="s">
        <v>861</v>
      </c>
      <c r="J14" s="13" t="s">
        <v>363</v>
      </c>
      <c r="K14" s="5" t="s">
        <v>355</v>
      </c>
      <c r="L14" s="5" t="s">
        <v>355</v>
      </c>
      <c r="M14" s="5" t="s">
        <v>356</v>
      </c>
      <c r="N14" s="13" t="s">
        <v>1095</v>
      </c>
    </row>
    <row r="15" ht="52" spans="1:14">
      <c r="A15" s="5" t="s">
        <v>1096</v>
      </c>
      <c r="B15" s="5" t="s">
        <v>396</v>
      </c>
      <c r="C15" s="6" t="s">
        <v>1097</v>
      </c>
      <c r="D15" s="6" t="s">
        <v>1098</v>
      </c>
      <c r="E15" s="6" t="s">
        <v>1099</v>
      </c>
      <c r="F15" s="6" t="s">
        <v>1100</v>
      </c>
      <c r="G15" s="5" t="s">
        <v>392</v>
      </c>
      <c r="H15" s="5" t="s">
        <v>352</v>
      </c>
      <c r="I15" s="5" t="s">
        <v>393</v>
      </c>
      <c r="J15" s="13" t="s">
        <v>363</v>
      </c>
      <c r="K15" s="5" t="s">
        <v>355</v>
      </c>
      <c r="L15" s="5" t="s">
        <v>355</v>
      </c>
      <c r="M15" s="5" t="s">
        <v>567</v>
      </c>
      <c r="N15" s="5"/>
    </row>
    <row r="16" ht="52" spans="1:14">
      <c r="A16" s="5" t="s">
        <v>1101</v>
      </c>
      <c r="B16" s="5" t="s">
        <v>396</v>
      </c>
      <c r="C16" s="6" t="s">
        <v>1102</v>
      </c>
      <c r="D16" s="6" t="s">
        <v>1103</v>
      </c>
      <c r="E16" s="6" t="s">
        <v>1104</v>
      </c>
      <c r="F16" s="6" t="s">
        <v>1105</v>
      </c>
      <c r="G16" s="5" t="s">
        <v>392</v>
      </c>
      <c r="H16" s="5" t="s">
        <v>352</v>
      </c>
      <c r="I16" s="5" t="s">
        <v>393</v>
      </c>
      <c r="J16" s="13" t="s">
        <v>363</v>
      </c>
      <c r="K16" s="5" t="s">
        <v>355</v>
      </c>
      <c r="L16" s="5" t="s">
        <v>355</v>
      </c>
      <c r="M16" s="5" t="s">
        <v>567</v>
      </c>
      <c r="N16" s="5"/>
    </row>
    <row r="17" ht="48.95" customHeight="1" spans="1:14">
      <c r="A17" s="5" t="s">
        <v>1106</v>
      </c>
      <c r="B17" s="19" t="s">
        <v>396</v>
      </c>
      <c r="C17" s="6" t="s">
        <v>1107</v>
      </c>
      <c r="D17" s="6" t="s">
        <v>1108</v>
      </c>
      <c r="E17" s="7" t="s">
        <v>1109</v>
      </c>
      <c r="F17" s="7" t="s">
        <v>1110</v>
      </c>
      <c r="G17" s="13" t="s">
        <v>392</v>
      </c>
      <c r="H17" s="13" t="s">
        <v>352</v>
      </c>
      <c r="I17" s="13" t="s">
        <v>393</v>
      </c>
      <c r="J17" s="13" t="s">
        <v>363</v>
      </c>
      <c r="K17" s="13" t="s">
        <v>355</v>
      </c>
      <c r="L17" s="13" t="s">
        <v>355</v>
      </c>
      <c r="M17" s="13" t="s">
        <v>567</v>
      </c>
      <c r="N17" s="13"/>
    </row>
    <row r="18" ht="26" spans="1:14">
      <c r="A18" s="5"/>
      <c r="B18" s="19" t="s">
        <v>396</v>
      </c>
      <c r="C18" s="6" t="s">
        <v>1111</v>
      </c>
      <c r="D18" s="6" t="s">
        <v>1112</v>
      </c>
      <c r="E18" s="7"/>
      <c r="F18" s="7"/>
      <c r="G18" s="13"/>
      <c r="H18" s="13"/>
      <c r="I18" s="13"/>
      <c r="J18" s="13"/>
      <c r="K18" s="13"/>
      <c r="L18" s="13"/>
      <c r="M18" s="13"/>
      <c r="N18" s="13"/>
    </row>
    <row r="19" ht="39" spans="1:14">
      <c r="A19" s="5" t="s">
        <v>1113</v>
      </c>
      <c r="B19" s="5" t="s">
        <v>396</v>
      </c>
      <c r="C19" s="6" t="s">
        <v>1114</v>
      </c>
      <c r="D19" s="6" t="s">
        <v>1115</v>
      </c>
      <c r="E19" s="12" t="s">
        <v>1116</v>
      </c>
      <c r="F19" s="6" t="s">
        <v>1117</v>
      </c>
      <c r="G19" s="5" t="s">
        <v>392</v>
      </c>
      <c r="H19" s="5" t="s">
        <v>352</v>
      </c>
      <c r="I19" s="5" t="s">
        <v>393</v>
      </c>
      <c r="J19" s="13" t="s">
        <v>363</v>
      </c>
      <c r="K19" s="5" t="s">
        <v>355</v>
      </c>
      <c r="L19" s="5" t="s">
        <v>355</v>
      </c>
      <c r="M19" s="5" t="s">
        <v>567</v>
      </c>
      <c r="N19" s="5"/>
    </row>
    <row r="20" ht="65" spans="1:14">
      <c r="A20" s="5" t="s">
        <v>1118</v>
      </c>
      <c r="B20" s="5" t="s">
        <v>436</v>
      </c>
      <c r="C20" s="6" t="s">
        <v>1119</v>
      </c>
      <c r="D20" s="6" t="s">
        <v>1120</v>
      </c>
      <c r="E20" s="6" t="s">
        <v>1121</v>
      </c>
      <c r="F20" s="6" t="s">
        <v>1122</v>
      </c>
      <c r="G20" s="5" t="s">
        <v>392</v>
      </c>
      <c r="H20" s="5" t="s">
        <v>352</v>
      </c>
      <c r="I20" s="5" t="s">
        <v>393</v>
      </c>
      <c r="J20" s="13" t="s">
        <v>363</v>
      </c>
      <c r="K20" s="5" t="s">
        <v>355</v>
      </c>
      <c r="L20" s="5" t="s">
        <v>355</v>
      </c>
      <c r="M20" s="5" t="s">
        <v>356</v>
      </c>
      <c r="N20" s="19" t="s">
        <v>1072</v>
      </c>
    </row>
    <row r="21" ht="52" spans="1:14">
      <c r="A21" s="5" t="s">
        <v>1123</v>
      </c>
      <c r="B21" s="5" t="s">
        <v>436</v>
      </c>
      <c r="C21" s="6" t="s">
        <v>1124</v>
      </c>
      <c r="D21" s="6" t="s">
        <v>1125</v>
      </c>
      <c r="E21" s="6" t="s">
        <v>1126</v>
      </c>
      <c r="F21" s="6" t="s">
        <v>1127</v>
      </c>
      <c r="G21" s="5" t="s">
        <v>392</v>
      </c>
      <c r="H21" s="5" t="s">
        <v>352</v>
      </c>
      <c r="I21" s="5" t="s">
        <v>393</v>
      </c>
      <c r="J21" s="13" t="s">
        <v>363</v>
      </c>
      <c r="K21" s="5" t="s">
        <v>355</v>
      </c>
      <c r="L21" s="5" t="s">
        <v>355</v>
      </c>
      <c r="M21" s="5" t="s">
        <v>356</v>
      </c>
      <c r="N21" s="58"/>
    </row>
    <row r="22" ht="32" customHeight="1" spans="1:14">
      <c r="A22" s="5" t="s">
        <v>1128</v>
      </c>
      <c r="B22" s="5" t="s">
        <v>436</v>
      </c>
      <c r="C22" s="6" t="s">
        <v>1129</v>
      </c>
      <c r="D22" s="6" t="s">
        <v>1130</v>
      </c>
      <c r="E22" s="7" t="s">
        <v>1131</v>
      </c>
      <c r="F22" s="7" t="s">
        <v>1132</v>
      </c>
      <c r="G22" s="5" t="s">
        <v>392</v>
      </c>
      <c r="H22" s="5" t="s">
        <v>352</v>
      </c>
      <c r="I22" s="5" t="s">
        <v>393</v>
      </c>
      <c r="J22" s="13" t="s">
        <v>363</v>
      </c>
      <c r="K22" s="5" t="s">
        <v>355</v>
      </c>
      <c r="L22" s="5" t="s">
        <v>355</v>
      </c>
      <c r="M22" s="5" t="s">
        <v>356</v>
      </c>
      <c r="N22" s="58"/>
    </row>
    <row r="23" ht="29.25" customHeight="1" spans="1:14">
      <c r="A23" s="5"/>
      <c r="B23" s="5" t="s">
        <v>436</v>
      </c>
      <c r="C23" s="6" t="s">
        <v>1133</v>
      </c>
      <c r="D23" s="6" t="s">
        <v>1134</v>
      </c>
      <c r="E23" s="7"/>
      <c r="F23" s="7"/>
      <c r="G23" s="5"/>
      <c r="H23" s="5"/>
      <c r="I23" s="5"/>
      <c r="J23" s="5"/>
      <c r="K23" s="5"/>
      <c r="L23" s="5"/>
      <c r="M23" s="5"/>
      <c r="N23" s="58"/>
    </row>
    <row r="24" ht="39" spans="1:14">
      <c r="A24" s="5" t="s">
        <v>1135</v>
      </c>
      <c r="B24" s="5" t="s">
        <v>436</v>
      </c>
      <c r="C24" s="6" t="s">
        <v>1136</v>
      </c>
      <c r="D24" s="6" t="s">
        <v>1137</v>
      </c>
      <c r="E24" s="12" t="s">
        <v>1138</v>
      </c>
      <c r="F24" s="6" t="s">
        <v>1139</v>
      </c>
      <c r="G24" s="5" t="s">
        <v>392</v>
      </c>
      <c r="H24" s="5" t="s">
        <v>352</v>
      </c>
      <c r="I24" s="5" t="s">
        <v>393</v>
      </c>
      <c r="J24" s="13" t="s">
        <v>363</v>
      </c>
      <c r="K24" s="5" t="s">
        <v>355</v>
      </c>
      <c r="L24" s="5" t="s">
        <v>355</v>
      </c>
      <c r="M24" s="5" t="s">
        <v>356</v>
      </c>
      <c r="N24" s="59"/>
    </row>
    <row r="25" ht="52" spans="1:14">
      <c r="A25" s="108" t="s">
        <v>1140</v>
      </c>
      <c r="B25" s="108" t="s">
        <v>396</v>
      </c>
      <c r="C25" s="109" t="s">
        <v>1141</v>
      </c>
      <c r="D25" s="109" t="s">
        <v>1142</v>
      </c>
      <c r="E25" s="109" t="s">
        <v>1143</v>
      </c>
      <c r="F25" s="109" t="s">
        <v>1144</v>
      </c>
      <c r="G25" s="108" t="s">
        <v>392</v>
      </c>
      <c r="H25" s="108" t="s">
        <v>352</v>
      </c>
      <c r="I25" s="108" t="s">
        <v>393</v>
      </c>
      <c r="J25" s="118" t="s">
        <v>363</v>
      </c>
      <c r="K25" s="108" t="s">
        <v>355</v>
      </c>
      <c r="L25" s="108" t="s">
        <v>355</v>
      </c>
      <c r="M25" s="108" t="s">
        <v>567</v>
      </c>
      <c r="N25" s="118"/>
    </row>
    <row r="26" ht="39" spans="1:14">
      <c r="A26" s="108" t="s">
        <v>1145</v>
      </c>
      <c r="B26" s="108" t="s">
        <v>396</v>
      </c>
      <c r="C26" s="109" t="s">
        <v>1146</v>
      </c>
      <c r="D26" s="109" t="s">
        <v>1147</v>
      </c>
      <c r="E26" s="109" t="s">
        <v>1148</v>
      </c>
      <c r="F26" s="109" t="s">
        <v>1149</v>
      </c>
      <c r="G26" s="108" t="s">
        <v>392</v>
      </c>
      <c r="H26" s="108" t="s">
        <v>352</v>
      </c>
      <c r="I26" s="108" t="s">
        <v>393</v>
      </c>
      <c r="J26" s="118" t="s">
        <v>363</v>
      </c>
      <c r="K26" s="108" t="s">
        <v>355</v>
      </c>
      <c r="L26" s="108" t="s">
        <v>355</v>
      </c>
      <c r="M26" s="108" t="s">
        <v>567</v>
      </c>
      <c r="N26" s="118"/>
    </row>
    <row r="27" spans="1:14">
      <c r="A27" s="108" t="s">
        <v>1150</v>
      </c>
      <c r="B27" s="108" t="s">
        <v>396</v>
      </c>
      <c r="C27" s="109" t="s">
        <v>1151</v>
      </c>
      <c r="D27" s="109" t="s">
        <v>1152</v>
      </c>
      <c r="E27" s="110" t="s">
        <v>1153</v>
      </c>
      <c r="F27" s="110" t="s">
        <v>1154</v>
      </c>
      <c r="G27" s="108" t="s">
        <v>392</v>
      </c>
      <c r="H27" s="108" t="s">
        <v>352</v>
      </c>
      <c r="I27" s="108" t="s">
        <v>393</v>
      </c>
      <c r="J27" s="118" t="s">
        <v>363</v>
      </c>
      <c r="K27" s="108" t="s">
        <v>355</v>
      </c>
      <c r="L27" s="108" t="s">
        <v>355</v>
      </c>
      <c r="M27" s="108" t="s">
        <v>567</v>
      </c>
      <c r="N27" s="118"/>
    </row>
    <row r="28" spans="1:14">
      <c r="A28" s="108"/>
      <c r="B28" s="108" t="s">
        <v>396</v>
      </c>
      <c r="C28" s="109" t="s">
        <v>1155</v>
      </c>
      <c r="D28" s="109" t="s">
        <v>1156</v>
      </c>
      <c r="E28" s="110"/>
      <c r="F28" s="110"/>
      <c r="G28" s="108"/>
      <c r="H28" s="108"/>
      <c r="I28" s="108"/>
      <c r="J28" s="108"/>
      <c r="K28" s="108"/>
      <c r="L28" s="108"/>
      <c r="M28" s="108"/>
      <c r="N28" s="118"/>
    </row>
    <row r="29" ht="65" spans="1:14">
      <c r="A29" s="108" t="s">
        <v>1157</v>
      </c>
      <c r="B29" s="108" t="s">
        <v>396</v>
      </c>
      <c r="C29" s="109" t="s">
        <v>1158</v>
      </c>
      <c r="D29" s="109" t="s">
        <v>1159</v>
      </c>
      <c r="E29" s="109" t="s">
        <v>1160</v>
      </c>
      <c r="F29" s="109" t="s">
        <v>1161</v>
      </c>
      <c r="G29" s="108" t="s">
        <v>392</v>
      </c>
      <c r="H29" s="108" t="s">
        <v>352</v>
      </c>
      <c r="I29" s="108" t="s">
        <v>393</v>
      </c>
      <c r="J29" s="118" t="s">
        <v>363</v>
      </c>
      <c r="K29" s="108" t="s">
        <v>355</v>
      </c>
      <c r="L29" s="108" t="s">
        <v>355</v>
      </c>
      <c r="M29" s="108" t="s">
        <v>567</v>
      </c>
      <c r="N29" s="118"/>
    </row>
    <row r="30" spans="1:14">
      <c r="A30" s="111" t="s">
        <v>1162</v>
      </c>
      <c r="B30" s="108" t="s">
        <v>387</v>
      </c>
      <c r="C30" s="112" t="s">
        <v>1163</v>
      </c>
      <c r="D30" s="112" t="s">
        <v>1164</v>
      </c>
      <c r="E30" s="113" t="s">
        <v>1165</v>
      </c>
      <c r="F30" s="114" t="s">
        <v>1166</v>
      </c>
      <c r="G30" s="113" t="s">
        <v>860</v>
      </c>
      <c r="H30" s="113" t="s">
        <v>352</v>
      </c>
      <c r="I30" s="113" t="s">
        <v>861</v>
      </c>
      <c r="J30" s="113" t="s">
        <v>363</v>
      </c>
      <c r="K30" s="113" t="s">
        <v>355</v>
      </c>
      <c r="L30" s="113" t="s">
        <v>355</v>
      </c>
      <c r="M30" s="113" t="s">
        <v>356</v>
      </c>
      <c r="N30" s="113" t="s">
        <v>862</v>
      </c>
    </row>
    <row r="31" spans="1:14">
      <c r="A31" s="115"/>
      <c r="B31" s="108" t="s">
        <v>387</v>
      </c>
      <c r="C31" s="112" t="s">
        <v>1167</v>
      </c>
      <c r="D31" s="112" t="s">
        <v>1168</v>
      </c>
      <c r="E31" s="116"/>
      <c r="F31" s="117"/>
      <c r="G31" s="116"/>
      <c r="H31" s="116"/>
      <c r="I31" s="116"/>
      <c r="J31" s="116"/>
      <c r="K31" s="116"/>
      <c r="L31" s="116"/>
      <c r="M31" s="116"/>
      <c r="N31" s="116"/>
    </row>
    <row r="32" ht="52" spans="1:14">
      <c r="A32" s="108" t="s">
        <v>1169</v>
      </c>
      <c r="B32" s="108" t="s">
        <v>396</v>
      </c>
      <c r="C32" s="109" t="s">
        <v>1170</v>
      </c>
      <c r="D32" s="109" t="s">
        <v>1171</v>
      </c>
      <c r="E32" s="109" t="s">
        <v>1172</v>
      </c>
      <c r="F32" s="109" t="s">
        <v>1173</v>
      </c>
      <c r="G32" s="108" t="s">
        <v>392</v>
      </c>
      <c r="H32" s="108" t="s">
        <v>352</v>
      </c>
      <c r="I32" s="108" t="s">
        <v>393</v>
      </c>
      <c r="J32" s="118" t="s">
        <v>363</v>
      </c>
      <c r="K32" s="108" t="s">
        <v>355</v>
      </c>
      <c r="L32" s="108" t="s">
        <v>355</v>
      </c>
      <c r="M32" s="108" t="s">
        <v>567</v>
      </c>
      <c r="N32" s="108"/>
    </row>
    <row r="33" ht="52" spans="1:14">
      <c r="A33" s="108" t="s">
        <v>1174</v>
      </c>
      <c r="B33" s="108" t="s">
        <v>396</v>
      </c>
      <c r="C33" s="109" t="s">
        <v>1175</v>
      </c>
      <c r="D33" s="109" t="s">
        <v>1176</v>
      </c>
      <c r="E33" s="109" t="s">
        <v>1177</v>
      </c>
      <c r="F33" s="109" t="s">
        <v>1178</v>
      </c>
      <c r="G33" s="108" t="s">
        <v>392</v>
      </c>
      <c r="H33" s="108" t="s">
        <v>352</v>
      </c>
      <c r="I33" s="108" t="s">
        <v>393</v>
      </c>
      <c r="J33" s="118" t="s">
        <v>363</v>
      </c>
      <c r="K33" s="108" t="s">
        <v>355</v>
      </c>
      <c r="L33" s="108" t="s">
        <v>355</v>
      </c>
      <c r="M33" s="108" t="s">
        <v>567</v>
      </c>
      <c r="N33" s="108"/>
    </row>
    <row r="34" spans="1:14">
      <c r="A34" s="111" t="s">
        <v>1179</v>
      </c>
      <c r="B34" s="113" t="s">
        <v>396</v>
      </c>
      <c r="C34" s="109" t="s">
        <v>1180</v>
      </c>
      <c r="D34" s="109" t="s">
        <v>1181</v>
      </c>
      <c r="E34" s="110" t="s">
        <v>1182</v>
      </c>
      <c r="F34" s="110" t="s">
        <v>1183</v>
      </c>
      <c r="G34" s="118" t="s">
        <v>392</v>
      </c>
      <c r="H34" s="118" t="s">
        <v>352</v>
      </c>
      <c r="I34" s="118" t="s">
        <v>393</v>
      </c>
      <c r="J34" s="118" t="s">
        <v>363</v>
      </c>
      <c r="K34" s="118" t="s">
        <v>355</v>
      </c>
      <c r="L34" s="118" t="s">
        <v>355</v>
      </c>
      <c r="M34" s="118" t="s">
        <v>567</v>
      </c>
      <c r="N34" s="118"/>
    </row>
    <row r="35" spans="1:14">
      <c r="A35" s="115"/>
      <c r="B35" s="113" t="s">
        <v>396</v>
      </c>
      <c r="C35" s="109" t="s">
        <v>1184</v>
      </c>
      <c r="D35" s="109" t="s">
        <v>1185</v>
      </c>
      <c r="E35" s="110"/>
      <c r="F35" s="110"/>
      <c r="G35" s="118"/>
      <c r="H35" s="118"/>
      <c r="I35" s="118"/>
      <c r="J35" s="118"/>
      <c r="K35" s="118"/>
      <c r="L35" s="118"/>
      <c r="M35" s="118"/>
      <c r="N35" s="118"/>
    </row>
    <row r="36" ht="39" spans="1:14">
      <c r="A36" s="108" t="s">
        <v>1186</v>
      </c>
      <c r="B36" s="108" t="s">
        <v>396</v>
      </c>
      <c r="C36" s="109" t="s">
        <v>1187</v>
      </c>
      <c r="D36" s="109" t="s">
        <v>1188</v>
      </c>
      <c r="E36" s="112" t="s">
        <v>1189</v>
      </c>
      <c r="F36" s="109" t="s">
        <v>1190</v>
      </c>
      <c r="G36" s="108" t="s">
        <v>392</v>
      </c>
      <c r="H36" s="108" t="s">
        <v>352</v>
      </c>
      <c r="I36" s="108" t="s">
        <v>393</v>
      </c>
      <c r="J36" s="118" t="s">
        <v>363</v>
      </c>
      <c r="K36" s="108" t="s">
        <v>355</v>
      </c>
      <c r="L36" s="108" t="s">
        <v>355</v>
      </c>
      <c r="M36" s="108" t="s">
        <v>567</v>
      </c>
      <c r="N36" s="108"/>
    </row>
  </sheetData>
  <autoFilter ref="A1:N36">
    <extLst/>
  </autoFilter>
  <mergeCells count="88">
    <mergeCell ref="A4:A5"/>
    <mergeCell ref="A7:A8"/>
    <mergeCell ref="A11:A12"/>
    <mergeCell ref="A17:A18"/>
    <mergeCell ref="A22:A23"/>
    <mergeCell ref="A27:A28"/>
    <mergeCell ref="A30:A31"/>
    <mergeCell ref="A34:A35"/>
    <mergeCell ref="E4:E5"/>
    <mergeCell ref="E7:E8"/>
    <mergeCell ref="E11:E12"/>
    <mergeCell ref="E17:E18"/>
    <mergeCell ref="E22:E23"/>
    <mergeCell ref="E27:E28"/>
    <mergeCell ref="E30:E31"/>
    <mergeCell ref="E34:E35"/>
    <mergeCell ref="F4:F5"/>
    <mergeCell ref="F7:F8"/>
    <mergeCell ref="F11:F12"/>
    <mergeCell ref="F17:F18"/>
    <mergeCell ref="F22:F23"/>
    <mergeCell ref="F27:F28"/>
    <mergeCell ref="F30:F31"/>
    <mergeCell ref="F34:F35"/>
    <mergeCell ref="G4:G5"/>
    <mergeCell ref="G7:G8"/>
    <mergeCell ref="G11:G12"/>
    <mergeCell ref="G17:G18"/>
    <mergeCell ref="G22:G23"/>
    <mergeCell ref="G27:G28"/>
    <mergeCell ref="G30:G31"/>
    <mergeCell ref="G34:G35"/>
    <mergeCell ref="H4:H5"/>
    <mergeCell ref="H7:H8"/>
    <mergeCell ref="H11:H12"/>
    <mergeCell ref="H17:H18"/>
    <mergeCell ref="H22:H23"/>
    <mergeCell ref="H27:H28"/>
    <mergeCell ref="H30:H31"/>
    <mergeCell ref="H34:H35"/>
    <mergeCell ref="I4:I5"/>
    <mergeCell ref="I7:I8"/>
    <mergeCell ref="I11:I12"/>
    <mergeCell ref="I17:I18"/>
    <mergeCell ref="I22:I23"/>
    <mergeCell ref="I27:I28"/>
    <mergeCell ref="I30:I31"/>
    <mergeCell ref="I34:I35"/>
    <mergeCell ref="J4:J5"/>
    <mergeCell ref="J7:J8"/>
    <mergeCell ref="J11:J12"/>
    <mergeCell ref="J17:J18"/>
    <mergeCell ref="J22:J23"/>
    <mergeCell ref="J27:J28"/>
    <mergeCell ref="J30:J31"/>
    <mergeCell ref="J34:J35"/>
    <mergeCell ref="K4:K5"/>
    <mergeCell ref="K7:K8"/>
    <mergeCell ref="K11:K12"/>
    <mergeCell ref="K17:K18"/>
    <mergeCell ref="K22:K23"/>
    <mergeCell ref="K27:K28"/>
    <mergeCell ref="K30:K31"/>
    <mergeCell ref="K34:K35"/>
    <mergeCell ref="L4:L5"/>
    <mergeCell ref="L7:L8"/>
    <mergeCell ref="L11:L12"/>
    <mergeCell ref="L17:L18"/>
    <mergeCell ref="L22:L23"/>
    <mergeCell ref="L27:L28"/>
    <mergeCell ref="L30:L31"/>
    <mergeCell ref="L34:L35"/>
    <mergeCell ref="M4:M5"/>
    <mergeCell ref="M7:M8"/>
    <mergeCell ref="M11:M12"/>
    <mergeCell ref="M17:M18"/>
    <mergeCell ref="M22:M23"/>
    <mergeCell ref="M27:M28"/>
    <mergeCell ref="M30:M31"/>
    <mergeCell ref="M34:M35"/>
    <mergeCell ref="N4:N5"/>
    <mergeCell ref="N7:N8"/>
    <mergeCell ref="N9:N13"/>
    <mergeCell ref="N17:N18"/>
    <mergeCell ref="N20:N24"/>
    <mergeCell ref="N27:N28"/>
    <mergeCell ref="N30:N31"/>
    <mergeCell ref="N34:N35"/>
  </mergeCells>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N16"/>
  <sheetViews>
    <sheetView workbookViewId="0">
      <selection activeCell="O4" sqref="O4"/>
    </sheetView>
  </sheetViews>
  <sheetFormatPr defaultColWidth="9" defaultRowHeight="13"/>
  <cols>
    <col min="1" max="2" width="9" style="1"/>
    <col min="3" max="3" width="21.57" style="1" customWidth="1"/>
    <col min="4" max="4" width="35.57" style="1" customWidth="1"/>
    <col min="5" max="5" width="30.57" style="1" customWidth="1"/>
    <col min="6" max="6" width="52" style="1" customWidth="1"/>
    <col min="7" max="7" width="9" style="1"/>
    <col min="8" max="8" width="9.64" style="1" customWidth="1"/>
    <col min="9" max="9" width="9" style="1"/>
    <col min="10" max="10" width="19.43" style="1" customWidth="1"/>
    <col min="11" max="12" width="9" style="1"/>
    <col min="13" max="13" width="9.64" style="1" customWidth="1"/>
    <col min="14" max="14" width="5.64" style="1" customWidth="1"/>
    <col min="15" max="16384" width="9" style="1"/>
  </cols>
  <sheetData>
    <row r="1" spans="1:14">
      <c r="A1" s="4" t="s">
        <v>332</v>
      </c>
      <c r="B1" s="4" t="s">
        <v>333</v>
      </c>
      <c r="C1" s="4" t="s">
        <v>334</v>
      </c>
      <c r="D1" s="4" t="s">
        <v>335</v>
      </c>
      <c r="E1" s="4" t="s">
        <v>336</v>
      </c>
      <c r="F1" s="4" t="s">
        <v>337</v>
      </c>
      <c r="G1" s="4" t="s">
        <v>338</v>
      </c>
      <c r="H1" s="4" t="s">
        <v>339</v>
      </c>
      <c r="I1" s="4" t="s">
        <v>340</v>
      </c>
      <c r="J1" s="4" t="s">
        <v>341</v>
      </c>
      <c r="K1" s="4" t="s">
        <v>342</v>
      </c>
      <c r="L1" s="4" t="s">
        <v>343</v>
      </c>
      <c r="M1" s="4" t="s">
        <v>344</v>
      </c>
      <c r="N1" s="4" t="s">
        <v>235</v>
      </c>
    </row>
    <row r="2" ht="20.45" customHeight="1" spans="1:14">
      <c r="A2" s="8" t="s">
        <v>1191</v>
      </c>
      <c r="B2" s="5" t="s">
        <v>346</v>
      </c>
      <c r="C2" s="6" t="s">
        <v>1192</v>
      </c>
      <c r="D2" s="6" t="s">
        <v>1193</v>
      </c>
      <c r="E2" s="55" t="s">
        <v>1194</v>
      </c>
      <c r="F2" s="55" t="s">
        <v>1195</v>
      </c>
      <c r="G2" s="8" t="s">
        <v>392</v>
      </c>
      <c r="H2" s="8" t="s">
        <v>352</v>
      </c>
      <c r="I2" s="8" t="s">
        <v>393</v>
      </c>
      <c r="J2" s="19" t="s">
        <v>1196</v>
      </c>
      <c r="K2" s="8" t="s">
        <v>355</v>
      </c>
      <c r="L2" s="8" t="s">
        <v>355</v>
      </c>
      <c r="M2" s="8" t="s">
        <v>356</v>
      </c>
      <c r="N2" s="8"/>
    </row>
    <row r="3" ht="26" spans="1:14">
      <c r="A3" s="10"/>
      <c r="B3" s="5" t="s">
        <v>396</v>
      </c>
      <c r="C3" s="6" t="s">
        <v>1197</v>
      </c>
      <c r="D3" s="6" t="s">
        <v>1198</v>
      </c>
      <c r="E3" s="56"/>
      <c r="F3" s="56"/>
      <c r="G3" s="10"/>
      <c r="H3" s="10"/>
      <c r="I3" s="10"/>
      <c r="J3" s="10"/>
      <c r="K3" s="10"/>
      <c r="L3" s="10"/>
      <c r="M3" s="10"/>
      <c r="N3" s="10"/>
    </row>
    <row r="4" ht="26" spans="1:14">
      <c r="A4" s="11"/>
      <c r="B4" s="5" t="s">
        <v>346</v>
      </c>
      <c r="C4" s="6" t="s">
        <v>1199</v>
      </c>
      <c r="D4" s="6" t="s">
        <v>1200</v>
      </c>
      <c r="E4" s="57"/>
      <c r="F4" s="57"/>
      <c r="G4" s="11"/>
      <c r="H4" s="11"/>
      <c r="I4" s="11"/>
      <c r="J4" s="11"/>
      <c r="K4" s="11"/>
      <c r="L4" s="11"/>
      <c r="M4" s="11"/>
      <c r="N4" s="11"/>
    </row>
    <row r="5" ht="26" spans="1:14">
      <c r="A5" s="8" t="s">
        <v>1201</v>
      </c>
      <c r="B5" s="5" t="s">
        <v>346</v>
      </c>
      <c r="C5" s="6" t="s">
        <v>1202</v>
      </c>
      <c r="D5" s="6" t="s">
        <v>1203</v>
      </c>
      <c r="E5" s="55" t="s">
        <v>1204</v>
      </c>
      <c r="F5" s="55" t="s">
        <v>1205</v>
      </c>
      <c r="G5" s="19" t="s">
        <v>392</v>
      </c>
      <c r="H5" s="19" t="s">
        <v>352</v>
      </c>
      <c r="I5" s="19" t="s">
        <v>393</v>
      </c>
      <c r="J5" s="19" t="s">
        <v>1196</v>
      </c>
      <c r="K5" s="19" t="s">
        <v>355</v>
      </c>
      <c r="L5" s="19" t="s">
        <v>355</v>
      </c>
      <c r="M5" s="19" t="s">
        <v>356</v>
      </c>
      <c r="N5" s="19"/>
    </row>
    <row r="6" ht="26" spans="1:14">
      <c r="A6" s="11"/>
      <c r="B6" s="5" t="s">
        <v>346</v>
      </c>
      <c r="C6" s="6" t="s">
        <v>1206</v>
      </c>
      <c r="D6" s="6" t="s">
        <v>1207</v>
      </c>
      <c r="E6" s="57"/>
      <c r="F6" s="57" t="s">
        <v>1205</v>
      </c>
      <c r="G6" s="59" t="s">
        <v>392</v>
      </c>
      <c r="H6" s="59" t="s">
        <v>352</v>
      </c>
      <c r="I6" s="59" t="s">
        <v>393</v>
      </c>
      <c r="J6" s="59"/>
      <c r="K6" s="59" t="s">
        <v>355</v>
      </c>
      <c r="L6" s="59" t="s">
        <v>355</v>
      </c>
      <c r="M6" s="59" t="s">
        <v>356</v>
      </c>
      <c r="N6" s="59"/>
    </row>
    <row r="7" ht="26" spans="1:14">
      <c r="A7" s="8" t="s">
        <v>1208</v>
      </c>
      <c r="B7" s="5" t="s">
        <v>346</v>
      </c>
      <c r="C7" s="6" t="s">
        <v>1209</v>
      </c>
      <c r="D7" s="6" t="s">
        <v>1210</v>
      </c>
      <c r="E7" s="55" t="s">
        <v>1211</v>
      </c>
      <c r="F7" s="55" t="s">
        <v>1212</v>
      </c>
      <c r="G7" s="19" t="s">
        <v>392</v>
      </c>
      <c r="H7" s="19" t="s">
        <v>352</v>
      </c>
      <c r="I7" s="19" t="s">
        <v>393</v>
      </c>
      <c r="J7" s="19" t="s">
        <v>1196</v>
      </c>
      <c r="K7" s="19" t="s">
        <v>355</v>
      </c>
      <c r="L7" s="19" t="s">
        <v>355</v>
      </c>
      <c r="M7" s="19" t="s">
        <v>356</v>
      </c>
      <c r="N7" s="19"/>
    </row>
    <row r="8" ht="26" spans="1:14">
      <c r="A8" s="11"/>
      <c r="B8" s="5" t="s">
        <v>346</v>
      </c>
      <c r="C8" s="6" t="s">
        <v>1213</v>
      </c>
      <c r="D8" s="6" t="s">
        <v>1214</v>
      </c>
      <c r="E8" s="57"/>
      <c r="F8" s="57" t="s">
        <v>1212</v>
      </c>
      <c r="G8" s="59" t="s">
        <v>392</v>
      </c>
      <c r="H8" s="59" t="s">
        <v>352</v>
      </c>
      <c r="I8" s="59" t="s">
        <v>393</v>
      </c>
      <c r="J8" s="59"/>
      <c r="K8" s="59" t="s">
        <v>355</v>
      </c>
      <c r="L8" s="59" t="s">
        <v>355</v>
      </c>
      <c r="M8" s="59" t="s">
        <v>356</v>
      </c>
      <c r="N8" s="59"/>
    </row>
    <row r="9" ht="26" spans="1:14">
      <c r="A9" s="8" t="s">
        <v>1215</v>
      </c>
      <c r="B9" s="5" t="s">
        <v>346</v>
      </c>
      <c r="C9" s="6" t="s">
        <v>1216</v>
      </c>
      <c r="D9" s="6" t="s">
        <v>1217</v>
      </c>
      <c r="E9" s="55" t="s">
        <v>1218</v>
      </c>
      <c r="F9" s="55" t="s">
        <v>1219</v>
      </c>
      <c r="G9" s="19" t="s">
        <v>392</v>
      </c>
      <c r="H9" s="19" t="s">
        <v>352</v>
      </c>
      <c r="I9" s="19" t="s">
        <v>393</v>
      </c>
      <c r="J9" s="19" t="s">
        <v>1196</v>
      </c>
      <c r="K9" s="19" t="s">
        <v>355</v>
      </c>
      <c r="L9" s="19" t="s">
        <v>355</v>
      </c>
      <c r="M9" s="19" t="s">
        <v>356</v>
      </c>
      <c r="N9" s="55"/>
    </row>
    <row r="10" ht="26" spans="1:14">
      <c r="A10" s="11"/>
      <c r="B10" s="5" t="s">
        <v>346</v>
      </c>
      <c r="C10" s="6" t="s">
        <v>1220</v>
      </c>
      <c r="D10" s="6" t="s">
        <v>1221</v>
      </c>
      <c r="E10" s="57"/>
      <c r="F10" s="57" t="s">
        <v>1219</v>
      </c>
      <c r="G10" s="59" t="s">
        <v>392</v>
      </c>
      <c r="H10" s="59" t="s">
        <v>352</v>
      </c>
      <c r="I10" s="59" t="s">
        <v>393</v>
      </c>
      <c r="J10" s="59"/>
      <c r="K10" s="59" t="s">
        <v>355</v>
      </c>
      <c r="L10" s="59" t="s">
        <v>355</v>
      </c>
      <c r="M10" s="59" t="s">
        <v>356</v>
      </c>
      <c r="N10" s="57"/>
    </row>
    <row r="11" customFormat="1" ht="39" spans="1:14">
      <c r="A11" s="5" t="s">
        <v>1222</v>
      </c>
      <c r="B11" s="20" t="s">
        <v>396</v>
      </c>
      <c r="C11" s="94" t="s">
        <v>1223</v>
      </c>
      <c r="D11" s="94" t="s">
        <v>1224</v>
      </c>
      <c r="E11" s="63" t="s">
        <v>1225</v>
      </c>
      <c r="F11" s="63" t="s">
        <v>1226</v>
      </c>
      <c r="G11" s="20" t="s">
        <v>392</v>
      </c>
      <c r="H11" s="20" t="s">
        <v>352</v>
      </c>
      <c r="I11" s="20" t="s">
        <v>393</v>
      </c>
      <c r="J11" s="13" t="s">
        <v>1196</v>
      </c>
      <c r="K11" s="20" t="s">
        <v>355</v>
      </c>
      <c r="L11" s="20" t="s">
        <v>355</v>
      </c>
      <c r="M11" s="20" t="s">
        <v>356</v>
      </c>
      <c r="N11" s="60"/>
    </row>
    <row r="12" customFormat="1" ht="39" spans="1:14">
      <c r="A12" s="5" t="s">
        <v>1227</v>
      </c>
      <c r="B12" s="20" t="s">
        <v>396</v>
      </c>
      <c r="C12" s="94" t="s">
        <v>1228</v>
      </c>
      <c r="D12" s="94" t="s">
        <v>1229</v>
      </c>
      <c r="E12" s="63" t="s">
        <v>1225</v>
      </c>
      <c r="F12" s="63" t="s">
        <v>1230</v>
      </c>
      <c r="G12" s="20" t="s">
        <v>392</v>
      </c>
      <c r="H12" s="20" t="s">
        <v>352</v>
      </c>
      <c r="I12" s="20" t="s">
        <v>393</v>
      </c>
      <c r="J12" s="13" t="s">
        <v>1196</v>
      </c>
      <c r="K12" s="20" t="s">
        <v>355</v>
      </c>
      <c r="L12" s="20" t="s">
        <v>355</v>
      </c>
      <c r="M12" s="20" t="s">
        <v>356</v>
      </c>
      <c r="N12" s="60"/>
    </row>
    <row r="13" customFormat="1" ht="39" spans="1:14">
      <c r="A13" s="5" t="s">
        <v>1231</v>
      </c>
      <c r="B13" s="20" t="s">
        <v>396</v>
      </c>
      <c r="C13" s="94" t="s">
        <v>1232</v>
      </c>
      <c r="D13" s="94" t="s">
        <v>1233</v>
      </c>
      <c r="E13" s="63" t="s">
        <v>1225</v>
      </c>
      <c r="F13" s="63" t="s">
        <v>1234</v>
      </c>
      <c r="G13" s="20" t="s">
        <v>392</v>
      </c>
      <c r="H13" s="20" t="s">
        <v>352</v>
      </c>
      <c r="I13" s="20" t="s">
        <v>393</v>
      </c>
      <c r="J13" s="13" t="s">
        <v>1196</v>
      </c>
      <c r="K13" s="20" t="s">
        <v>355</v>
      </c>
      <c r="L13" s="20" t="s">
        <v>355</v>
      </c>
      <c r="M13" s="20" t="s">
        <v>356</v>
      </c>
      <c r="N13" s="60"/>
    </row>
    <row r="14" ht="65" spans="1:14">
      <c r="A14" s="5" t="s">
        <v>1235</v>
      </c>
      <c r="B14" s="5" t="s">
        <v>346</v>
      </c>
      <c r="C14" s="6" t="s">
        <v>1236</v>
      </c>
      <c r="D14" s="12" t="s">
        <v>1237</v>
      </c>
      <c r="E14" s="105" t="s">
        <v>1238</v>
      </c>
      <c r="F14" s="106" t="s">
        <v>1239</v>
      </c>
      <c r="G14" s="5" t="s">
        <v>392</v>
      </c>
      <c r="H14" s="5" t="s">
        <v>352</v>
      </c>
      <c r="I14" s="5" t="s">
        <v>393</v>
      </c>
      <c r="J14" s="13" t="s">
        <v>1196</v>
      </c>
      <c r="K14" s="5" t="s">
        <v>355</v>
      </c>
      <c r="L14" s="5" t="s">
        <v>355</v>
      </c>
      <c r="M14" s="5" t="s">
        <v>567</v>
      </c>
      <c r="N14" s="14"/>
    </row>
    <row r="15" ht="52" spans="1:14">
      <c r="A15" s="5" t="s">
        <v>1240</v>
      </c>
      <c r="B15" s="5" t="s">
        <v>346</v>
      </c>
      <c r="C15" s="6" t="s">
        <v>1241</v>
      </c>
      <c r="D15" s="12" t="s">
        <v>1242</v>
      </c>
      <c r="E15" s="9" t="s">
        <v>1243</v>
      </c>
      <c r="F15" s="9" t="s">
        <v>1244</v>
      </c>
      <c r="G15" s="20" t="s">
        <v>392</v>
      </c>
      <c r="H15" s="20" t="s">
        <v>352</v>
      </c>
      <c r="I15" s="20" t="s">
        <v>393</v>
      </c>
      <c r="J15" s="13" t="s">
        <v>1196</v>
      </c>
      <c r="K15" s="20" t="s">
        <v>355</v>
      </c>
      <c r="L15" s="20" t="s">
        <v>355</v>
      </c>
      <c r="M15" s="20" t="s">
        <v>567</v>
      </c>
      <c r="N15" s="14"/>
    </row>
    <row r="16" ht="39" spans="1:14">
      <c r="A16" s="5" t="s">
        <v>1245</v>
      </c>
      <c r="B16" s="5" t="s">
        <v>346</v>
      </c>
      <c r="C16" s="6" t="s">
        <v>1246</v>
      </c>
      <c r="D16" s="6" t="s">
        <v>1247</v>
      </c>
      <c r="E16" s="9" t="s">
        <v>1248</v>
      </c>
      <c r="F16" s="7" t="s">
        <v>1249</v>
      </c>
      <c r="G16" s="5" t="s">
        <v>392</v>
      </c>
      <c r="H16" s="5" t="s">
        <v>352</v>
      </c>
      <c r="I16" s="5" t="s">
        <v>393</v>
      </c>
      <c r="J16" s="13" t="s">
        <v>1196</v>
      </c>
      <c r="K16" s="5" t="s">
        <v>355</v>
      </c>
      <c r="L16" s="5" t="s">
        <v>355</v>
      </c>
      <c r="M16" s="5" t="s">
        <v>356</v>
      </c>
      <c r="N16" s="5"/>
    </row>
  </sheetData>
  <mergeCells count="44">
    <mergeCell ref="A2:A4"/>
    <mergeCell ref="A5:A6"/>
    <mergeCell ref="A7:A8"/>
    <mergeCell ref="A9:A10"/>
    <mergeCell ref="E2:E4"/>
    <mergeCell ref="E5:E6"/>
    <mergeCell ref="E7:E8"/>
    <mergeCell ref="E9:E10"/>
    <mergeCell ref="F2:F4"/>
    <mergeCell ref="F5:F6"/>
    <mergeCell ref="F7:F8"/>
    <mergeCell ref="F9:F10"/>
    <mergeCell ref="G2:G4"/>
    <mergeCell ref="G5:G6"/>
    <mergeCell ref="G7:G8"/>
    <mergeCell ref="G9:G10"/>
    <mergeCell ref="H2:H4"/>
    <mergeCell ref="H5:H6"/>
    <mergeCell ref="H7:H8"/>
    <mergeCell ref="H9:H10"/>
    <mergeCell ref="I2:I4"/>
    <mergeCell ref="I5:I6"/>
    <mergeCell ref="I7:I8"/>
    <mergeCell ref="I9:I10"/>
    <mergeCell ref="J2:J4"/>
    <mergeCell ref="J5:J6"/>
    <mergeCell ref="J7:J8"/>
    <mergeCell ref="J9:J10"/>
    <mergeCell ref="K2:K4"/>
    <mergeCell ref="K5:K6"/>
    <mergeCell ref="K7:K8"/>
    <mergeCell ref="K9:K10"/>
    <mergeCell ref="L2:L4"/>
    <mergeCell ref="L5:L6"/>
    <mergeCell ref="L7:L8"/>
    <mergeCell ref="L9:L10"/>
    <mergeCell ref="M2:M4"/>
    <mergeCell ref="M5:M6"/>
    <mergeCell ref="M7:M8"/>
    <mergeCell ref="M9:M10"/>
    <mergeCell ref="N2:N4"/>
    <mergeCell ref="N5:N6"/>
    <mergeCell ref="N7:N8"/>
    <mergeCell ref="N9:N10"/>
  </mergeCells>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N3"/>
  <sheetViews>
    <sheetView workbookViewId="0">
      <selection activeCell="K3" sqref="A1:N3"/>
    </sheetView>
  </sheetViews>
  <sheetFormatPr defaultColWidth="9" defaultRowHeight="13" outlineLevelRow="2"/>
  <cols>
    <col min="1" max="1" width="9" style="1"/>
    <col min="2" max="2" width="7.64" style="1" customWidth="1"/>
    <col min="3" max="3" width="19.43" style="1" customWidth="1"/>
    <col min="4" max="4" width="17.36" style="1" customWidth="1"/>
    <col min="5" max="5" width="30.57" style="1" customWidth="1"/>
    <col min="6" max="6" width="43.14" style="1" customWidth="1"/>
    <col min="7" max="7" width="9" style="1"/>
    <col min="8" max="8" width="9.64" style="1" customWidth="1"/>
    <col min="9" max="9" width="9" style="1"/>
    <col min="10" max="10" width="15" style="1" customWidth="1"/>
    <col min="11" max="12" width="9" style="1"/>
    <col min="13" max="13" width="9.64" style="1" customWidth="1"/>
    <col min="14" max="15" width="16.36" style="1" customWidth="1"/>
    <col min="16" max="16384" width="9" style="1"/>
  </cols>
  <sheetData>
    <row r="1" spans="1:14">
      <c r="A1" s="4" t="s">
        <v>332</v>
      </c>
      <c r="B1" s="4" t="s">
        <v>333</v>
      </c>
      <c r="C1" s="4" t="s">
        <v>334</v>
      </c>
      <c r="D1" s="4" t="s">
        <v>335</v>
      </c>
      <c r="E1" s="4" t="s">
        <v>336</v>
      </c>
      <c r="F1" s="4" t="s">
        <v>337</v>
      </c>
      <c r="G1" s="4" t="s">
        <v>338</v>
      </c>
      <c r="H1" s="4" t="s">
        <v>339</v>
      </c>
      <c r="I1" s="4" t="s">
        <v>340</v>
      </c>
      <c r="J1" s="4" t="s">
        <v>341</v>
      </c>
      <c r="K1" s="4" t="s">
        <v>342</v>
      </c>
      <c r="L1" s="4" t="s">
        <v>343</v>
      </c>
      <c r="M1" s="4" t="s">
        <v>344</v>
      </c>
      <c r="N1" s="4" t="s">
        <v>235</v>
      </c>
    </row>
    <row r="2" ht="26" spans="1:14">
      <c r="A2" s="5" t="s">
        <v>1250</v>
      </c>
      <c r="B2" s="5" t="s">
        <v>387</v>
      </c>
      <c r="C2" s="6" t="s">
        <v>1251</v>
      </c>
      <c r="D2" s="6" t="s">
        <v>1252</v>
      </c>
      <c r="E2" s="6" t="s">
        <v>1253</v>
      </c>
      <c r="F2" s="6" t="s">
        <v>1254</v>
      </c>
      <c r="G2" s="5" t="s">
        <v>392</v>
      </c>
      <c r="H2" s="5" t="s">
        <v>352</v>
      </c>
      <c r="I2" s="5" t="s">
        <v>371</v>
      </c>
      <c r="J2" s="13" t="s">
        <v>363</v>
      </c>
      <c r="K2" s="5" t="s">
        <v>355</v>
      </c>
      <c r="L2" s="5" t="s">
        <v>355</v>
      </c>
      <c r="M2" s="5" t="s">
        <v>356</v>
      </c>
      <c r="N2" s="5"/>
    </row>
    <row r="3" ht="26" spans="1:14">
      <c r="A3" s="5" t="s">
        <v>1255</v>
      </c>
      <c r="B3" s="5" t="s">
        <v>464</v>
      </c>
      <c r="C3" s="6" t="s">
        <v>1256</v>
      </c>
      <c r="D3" s="6" t="s">
        <v>1257</v>
      </c>
      <c r="E3" s="6" t="s">
        <v>1258</v>
      </c>
      <c r="F3" s="6" t="s">
        <v>1259</v>
      </c>
      <c r="G3" s="5" t="s">
        <v>392</v>
      </c>
      <c r="H3" s="5" t="s">
        <v>352</v>
      </c>
      <c r="I3" s="5" t="s">
        <v>371</v>
      </c>
      <c r="J3" s="13" t="s">
        <v>363</v>
      </c>
      <c r="K3" s="5" t="s">
        <v>355</v>
      </c>
      <c r="L3" s="5" t="s">
        <v>355</v>
      </c>
      <c r="M3" s="5" t="s">
        <v>356</v>
      </c>
      <c r="N3" s="13" t="s">
        <v>1260</v>
      </c>
    </row>
  </sheetData>
  <pageMargins left="0.75" right="0.75" top="1" bottom="1" header="0.5" footer="0.5"/>
  <pageSetup paperSize="9" orientation="portrait"/>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N35"/>
  <sheetViews>
    <sheetView workbookViewId="0">
      <selection activeCell="I6" sqref="I6:I9"/>
    </sheetView>
  </sheetViews>
  <sheetFormatPr defaultColWidth="9" defaultRowHeight="13"/>
  <cols>
    <col min="1" max="1" width="9" style="1"/>
    <col min="2" max="2" width="7.64" style="1" customWidth="1"/>
    <col min="3" max="3" width="28.36" style="1" customWidth="1"/>
    <col min="4" max="4" width="35.79" style="1" customWidth="1"/>
    <col min="5" max="5" width="26.79" style="1" customWidth="1"/>
    <col min="6" max="6" width="7" style="1" customWidth="1"/>
    <col min="7" max="7" width="10.64" style="1" customWidth="1"/>
    <col min="8" max="8" width="11.86" style="1" customWidth="1"/>
    <col min="9" max="9" width="10.86" style="1" customWidth="1"/>
    <col min="10" max="10" width="9.57" style="1" customWidth="1"/>
    <col min="11" max="11" width="8.21" style="1" customWidth="1"/>
    <col min="12" max="12" width="8.36" style="1" customWidth="1"/>
    <col min="13" max="13" width="6.86" style="1" customWidth="1"/>
    <col min="14" max="14" width="23.36" style="1" customWidth="1"/>
    <col min="15" max="16384" width="9" style="1"/>
  </cols>
  <sheetData>
    <row r="1" spans="1:14">
      <c r="A1" s="4" t="s">
        <v>332</v>
      </c>
      <c r="B1" s="4" t="s">
        <v>333</v>
      </c>
      <c r="C1" s="4" t="s">
        <v>334</v>
      </c>
      <c r="D1" s="4" t="s">
        <v>335</v>
      </c>
      <c r="E1" s="4" t="s">
        <v>336</v>
      </c>
      <c r="F1" s="4" t="s">
        <v>337</v>
      </c>
      <c r="G1" s="4" t="s">
        <v>338</v>
      </c>
      <c r="H1" s="4" t="s">
        <v>339</v>
      </c>
      <c r="I1" s="4" t="s">
        <v>340</v>
      </c>
      <c r="J1" s="4" t="s">
        <v>341</v>
      </c>
      <c r="K1" s="4" t="s">
        <v>342</v>
      </c>
      <c r="L1" s="4" t="s">
        <v>343</v>
      </c>
      <c r="M1" s="4" t="s">
        <v>344</v>
      </c>
      <c r="N1" s="4" t="s">
        <v>235</v>
      </c>
    </row>
    <row r="2" ht="38.1" customHeight="1" spans="1:14">
      <c r="A2" s="5" t="s">
        <v>1261</v>
      </c>
      <c r="B2" s="5" t="s">
        <v>387</v>
      </c>
      <c r="C2" s="12" t="s">
        <v>1262</v>
      </c>
      <c r="D2" s="6" t="s">
        <v>1263</v>
      </c>
      <c r="E2" s="12" t="s">
        <v>1264</v>
      </c>
      <c r="F2" s="5" t="s">
        <v>456</v>
      </c>
      <c r="G2" s="5" t="s">
        <v>392</v>
      </c>
      <c r="H2" s="5" t="s">
        <v>535</v>
      </c>
      <c r="I2" s="5" t="s">
        <v>1265</v>
      </c>
      <c r="J2" s="13" t="s">
        <v>363</v>
      </c>
      <c r="K2" s="5" t="s">
        <v>355</v>
      </c>
      <c r="L2" s="5" t="s">
        <v>355</v>
      </c>
      <c r="M2" s="5" t="s">
        <v>356</v>
      </c>
      <c r="N2" s="9" t="s">
        <v>1266</v>
      </c>
    </row>
    <row r="3" ht="54" customHeight="1" spans="1:14">
      <c r="A3" s="5"/>
      <c r="B3" s="5" t="s">
        <v>373</v>
      </c>
      <c r="C3" s="12" t="s">
        <v>1267</v>
      </c>
      <c r="D3" s="6" t="s">
        <v>1268</v>
      </c>
      <c r="E3" s="12"/>
      <c r="F3" s="5"/>
      <c r="G3" s="5"/>
      <c r="H3" s="5"/>
      <c r="I3" s="5"/>
      <c r="J3" s="13"/>
      <c r="K3" s="5"/>
      <c r="L3" s="5"/>
      <c r="M3" s="5"/>
      <c r="N3" s="9" t="s">
        <v>1269</v>
      </c>
    </row>
    <row r="4" ht="31.7" customHeight="1" spans="1:14">
      <c r="A4" s="5"/>
      <c r="B4" s="5" t="s">
        <v>346</v>
      </c>
      <c r="C4" s="12" t="s">
        <v>1270</v>
      </c>
      <c r="D4" s="6" t="s">
        <v>1271</v>
      </c>
      <c r="E4" s="6"/>
      <c r="F4" s="5"/>
      <c r="G4" s="5"/>
      <c r="H4" s="5"/>
      <c r="I4" s="5"/>
      <c r="J4" s="13"/>
      <c r="K4" s="5"/>
      <c r="L4" s="5"/>
      <c r="M4" s="5"/>
      <c r="N4" s="9"/>
    </row>
    <row r="5" ht="31.7" customHeight="1" spans="1:14">
      <c r="A5" s="5"/>
      <c r="B5" s="5" t="s">
        <v>464</v>
      </c>
      <c r="C5" s="12" t="s">
        <v>1272</v>
      </c>
      <c r="D5" s="6" t="s">
        <v>1273</v>
      </c>
      <c r="E5" s="6"/>
      <c r="F5" s="5"/>
      <c r="G5" s="5"/>
      <c r="H5" s="5"/>
      <c r="I5" s="5"/>
      <c r="J5" s="13"/>
      <c r="K5" s="5"/>
      <c r="L5" s="5"/>
      <c r="M5" s="5"/>
      <c r="N5" s="9" t="s">
        <v>468</v>
      </c>
    </row>
    <row r="6" ht="41.85" customHeight="1" spans="1:14">
      <c r="A6" s="5" t="s">
        <v>1274</v>
      </c>
      <c r="B6" s="5" t="s">
        <v>387</v>
      </c>
      <c r="C6" s="12" t="s">
        <v>1275</v>
      </c>
      <c r="D6" s="6" t="s">
        <v>1276</v>
      </c>
      <c r="E6" s="12" t="s">
        <v>1277</v>
      </c>
      <c r="F6" s="5" t="s">
        <v>456</v>
      </c>
      <c r="G6" s="5" t="s">
        <v>392</v>
      </c>
      <c r="H6" s="5" t="s">
        <v>535</v>
      </c>
      <c r="I6" s="5" t="s">
        <v>1265</v>
      </c>
      <c r="J6" s="13" t="s">
        <v>363</v>
      </c>
      <c r="K6" s="5" t="s">
        <v>355</v>
      </c>
      <c r="L6" s="5" t="s">
        <v>355</v>
      </c>
      <c r="M6" s="5" t="s">
        <v>356</v>
      </c>
      <c r="N6" s="9" t="s">
        <v>1266</v>
      </c>
    </row>
    <row r="7" ht="93" customHeight="1" spans="1:14">
      <c r="A7" s="5"/>
      <c r="B7" s="5" t="s">
        <v>373</v>
      </c>
      <c r="C7" s="12" t="s">
        <v>1278</v>
      </c>
      <c r="D7" s="6" t="s">
        <v>1279</v>
      </c>
      <c r="E7" s="12"/>
      <c r="F7" s="5"/>
      <c r="G7" s="5"/>
      <c r="H7" s="5"/>
      <c r="I7" s="5"/>
      <c r="J7" s="13"/>
      <c r="K7" s="5"/>
      <c r="L7" s="5"/>
      <c r="M7" s="5"/>
      <c r="N7" s="9" t="s">
        <v>1269</v>
      </c>
    </row>
    <row r="8" ht="93" customHeight="1" spans="1:14">
      <c r="A8" s="5"/>
      <c r="B8" s="5" t="s">
        <v>346</v>
      </c>
      <c r="C8" s="12" t="s">
        <v>1280</v>
      </c>
      <c r="D8" s="6" t="s">
        <v>1281</v>
      </c>
      <c r="E8" s="12"/>
      <c r="F8" s="5"/>
      <c r="G8" s="5"/>
      <c r="H8" s="5"/>
      <c r="I8" s="5"/>
      <c r="J8" s="13"/>
      <c r="K8" s="5"/>
      <c r="L8" s="5"/>
      <c r="M8" s="5"/>
      <c r="N8" s="9" t="s">
        <v>1282</v>
      </c>
    </row>
    <row r="9" ht="93" customHeight="1" spans="1:14">
      <c r="A9" s="5"/>
      <c r="B9" s="5" t="s">
        <v>464</v>
      </c>
      <c r="C9" s="12" t="s">
        <v>1283</v>
      </c>
      <c r="D9" s="6" t="s">
        <v>1284</v>
      </c>
      <c r="E9" s="6"/>
      <c r="F9" s="5"/>
      <c r="G9" s="5"/>
      <c r="H9" s="5"/>
      <c r="I9" s="5"/>
      <c r="J9" s="13"/>
      <c r="K9" s="5"/>
      <c r="L9" s="5"/>
      <c r="M9" s="5"/>
      <c r="N9" s="9" t="s">
        <v>1285</v>
      </c>
    </row>
    <row r="10" ht="65" spans="1:14">
      <c r="A10" s="5" t="s">
        <v>1286</v>
      </c>
      <c r="B10" s="5" t="s">
        <v>346</v>
      </c>
      <c r="C10" s="6" t="s">
        <v>1287</v>
      </c>
      <c r="D10" s="6" t="s">
        <v>1288</v>
      </c>
      <c r="E10" s="6" t="s">
        <v>1289</v>
      </c>
      <c r="F10" s="5" t="s">
        <v>456</v>
      </c>
      <c r="G10" s="5" t="s">
        <v>392</v>
      </c>
      <c r="H10" s="5" t="s">
        <v>535</v>
      </c>
      <c r="I10" s="5" t="s">
        <v>1265</v>
      </c>
      <c r="J10" s="13" t="s">
        <v>363</v>
      </c>
      <c r="K10" s="5" t="s">
        <v>355</v>
      </c>
      <c r="L10" s="5" t="s">
        <v>355</v>
      </c>
      <c r="M10" s="5" t="s">
        <v>356</v>
      </c>
      <c r="N10" s="9" t="s">
        <v>1266</v>
      </c>
    </row>
    <row r="11" ht="91" spans="1:14">
      <c r="A11" s="5" t="s">
        <v>1290</v>
      </c>
      <c r="B11" s="5" t="s">
        <v>346</v>
      </c>
      <c r="C11" s="6" t="s">
        <v>1291</v>
      </c>
      <c r="D11" s="6" t="s">
        <v>1292</v>
      </c>
      <c r="E11" s="6" t="s">
        <v>1293</v>
      </c>
      <c r="F11" s="5" t="s">
        <v>456</v>
      </c>
      <c r="G11" s="5" t="s">
        <v>392</v>
      </c>
      <c r="H11" s="5" t="s">
        <v>535</v>
      </c>
      <c r="I11" s="5" t="s">
        <v>1265</v>
      </c>
      <c r="J11" s="13" t="s">
        <v>363</v>
      </c>
      <c r="K11" s="5" t="s">
        <v>355</v>
      </c>
      <c r="L11" s="5" t="s">
        <v>355</v>
      </c>
      <c r="M11" s="5" t="s">
        <v>356</v>
      </c>
      <c r="N11" s="9" t="s">
        <v>1266</v>
      </c>
    </row>
    <row r="12" ht="11.85" customHeight="1" spans="1:14">
      <c r="A12" s="5" t="s">
        <v>1294</v>
      </c>
      <c r="B12" s="5" t="s">
        <v>346</v>
      </c>
      <c r="C12" s="6" t="s">
        <v>1295</v>
      </c>
      <c r="D12" s="9" t="s">
        <v>1296</v>
      </c>
      <c r="E12" s="7" t="s">
        <v>1297</v>
      </c>
      <c r="F12" s="13" t="s">
        <v>456</v>
      </c>
      <c r="G12" s="5" t="s">
        <v>392</v>
      </c>
      <c r="H12" s="5" t="s">
        <v>352</v>
      </c>
      <c r="I12" s="5" t="s">
        <v>371</v>
      </c>
      <c r="J12" s="13" t="s">
        <v>363</v>
      </c>
      <c r="K12" s="5" t="s">
        <v>355</v>
      </c>
      <c r="L12" s="5" t="s">
        <v>355</v>
      </c>
      <c r="M12" s="5" t="s">
        <v>356</v>
      </c>
      <c r="N12" s="9" t="s">
        <v>1298</v>
      </c>
    </row>
    <row r="13" ht="39" spans="1:14">
      <c r="A13" s="5"/>
      <c r="B13" s="5" t="s">
        <v>346</v>
      </c>
      <c r="C13" s="6" t="s">
        <v>1299</v>
      </c>
      <c r="D13" s="9" t="s">
        <v>1300</v>
      </c>
      <c r="E13" s="7"/>
      <c r="F13" s="13"/>
      <c r="G13" s="5"/>
      <c r="H13" s="5"/>
      <c r="I13" s="5"/>
      <c r="J13" s="5"/>
      <c r="K13" s="5"/>
      <c r="L13" s="5"/>
      <c r="M13" s="5"/>
      <c r="N13" s="9" t="s">
        <v>1301</v>
      </c>
    </row>
    <row r="14" spans="1:14">
      <c r="A14" s="5" t="s">
        <v>1302</v>
      </c>
      <c r="B14" s="5" t="s">
        <v>346</v>
      </c>
      <c r="C14" s="6" t="s">
        <v>1303</v>
      </c>
      <c r="D14" s="14" t="s">
        <v>1304</v>
      </c>
      <c r="E14" s="7" t="s">
        <v>1305</v>
      </c>
      <c r="F14" s="13" t="s">
        <v>456</v>
      </c>
      <c r="G14" s="5" t="s">
        <v>392</v>
      </c>
      <c r="H14" s="5" t="s">
        <v>352</v>
      </c>
      <c r="I14" s="5" t="s">
        <v>371</v>
      </c>
      <c r="J14" s="13" t="s">
        <v>363</v>
      </c>
      <c r="K14" s="5" t="s">
        <v>355</v>
      </c>
      <c r="L14" s="5" t="s">
        <v>355</v>
      </c>
      <c r="M14" s="5" t="s">
        <v>356</v>
      </c>
      <c r="N14" s="14"/>
    </row>
    <row r="15" spans="1:14">
      <c r="A15" s="5"/>
      <c r="B15" s="5" t="s">
        <v>346</v>
      </c>
      <c r="C15" s="6" t="s">
        <v>1306</v>
      </c>
      <c r="D15" s="14" t="s">
        <v>1307</v>
      </c>
      <c r="E15" s="7"/>
      <c r="F15" s="13"/>
      <c r="G15" s="5"/>
      <c r="H15" s="5"/>
      <c r="I15" s="5"/>
      <c r="J15" s="5"/>
      <c r="K15" s="5"/>
      <c r="L15" s="5"/>
      <c r="M15" s="5"/>
      <c r="N15" s="14" t="s">
        <v>540</v>
      </c>
    </row>
    <row r="16" ht="23.75" customHeight="1" spans="1:14">
      <c r="A16" s="5" t="s">
        <v>1308</v>
      </c>
      <c r="B16" s="5" t="s">
        <v>346</v>
      </c>
      <c r="C16" s="6" t="s">
        <v>1309</v>
      </c>
      <c r="D16" s="9" t="s">
        <v>1310</v>
      </c>
      <c r="E16" s="7" t="s">
        <v>1311</v>
      </c>
      <c r="F16" s="13" t="s">
        <v>456</v>
      </c>
      <c r="G16" s="5" t="s">
        <v>392</v>
      </c>
      <c r="H16" s="5" t="s">
        <v>352</v>
      </c>
      <c r="I16" s="5" t="s">
        <v>371</v>
      </c>
      <c r="J16" s="13" t="s">
        <v>363</v>
      </c>
      <c r="K16" s="5" t="s">
        <v>355</v>
      </c>
      <c r="L16" s="5" t="s">
        <v>355</v>
      </c>
      <c r="M16" s="5" t="s">
        <v>356</v>
      </c>
      <c r="N16" s="14"/>
    </row>
    <row r="17" ht="45.2" customHeight="1" spans="1:14">
      <c r="A17" s="5"/>
      <c r="B17" s="5" t="s">
        <v>346</v>
      </c>
      <c r="C17" s="6" t="s">
        <v>1312</v>
      </c>
      <c r="D17" s="9" t="s">
        <v>1313</v>
      </c>
      <c r="E17" s="7"/>
      <c r="F17" s="13"/>
      <c r="G17" s="5"/>
      <c r="H17" s="5"/>
      <c r="I17" s="5"/>
      <c r="J17" s="5"/>
      <c r="K17" s="5"/>
      <c r="L17" s="5"/>
      <c r="M17" s="5"/>
      <c r="N17" s="14" t="s">
        <v>540</v>
      </c>
    </row>
    <row r="18" spans="1:14">
      <c r="A18" s="5" t="s">
        <v>1314</v>
      </c>
      <c r="B18" s="5" t="s">
        <v>346</v>
      </c>
      <c r="C18" s="6" t="s">
        <v>1315</v>
      </c>
      <c r="D18" s="9" t="s">
        <v>1316</v>
      </c>
      <c r="E18" s="7" t="s">
        <v>1317</v>
      </c>
      <c r="F18" s="13" t="s">
        <v>456</v>
      </c>
      <c r="G18" s="5" t="s">
        <v>392</v>
      </c>
      <c r="H18" s="5" t="s">
        <v>352</v>
      </c>
      <c r="I18" s="5" t="s">
        <v>371</v>
      </c>
      <c r="J18" s="13" t="s">
        <v>363</v>
      </c>
      <c r="K18" s="5" t="s">
        <v>355</v>
      </c>
      <c r="L18" s="5" t="s">
        <v>355</v>
      </c>
      <c r="M18" s="5" t="s">
        <v>356</v>
      </c>
      <c r="N18" s="14"/>
    </row>
    <row r="19" spans="1:14">
      <c r="A19" s="5"/>
      <c r="B19" s="5" t="s">
        <v>346</v>
      </c>
      <c r="C19" s="6" t="s">
        <v>1318</v>
      </c>
      <c r="D19" s="9" t="s">
        <v>1319</v>
      </c>
      <c r="E19" s="7"/>
      <c r="F19" s="13"/>
      <c r="G19" s="5"/>
      <c r="H19" s="5"/>
      <c r="I19" s="5"/>
      <c r="J19" s="5"/>
      <c r="K19" s="5"/>
      <c r="L19" s="5"/>
      <c r="M19" s="5"/>
      <c r="N19" s="14" t="s">
        <v>540</v>
      </c>
    </row>
    <row r="20" ht="16.35" customHeight="1" spans="1:14">
      <c r="A20" s="5" t="s">
        <v>1320</v>
      </c>
      <c r="B20" s="5" t="s">
        <v>346</v>
      </c>
      <c r="C20" s="6" t="s">
        <v>1321</v>
      </c>
      <c r="D20" s="9" t="s">
        <v>1322</v>
      </c>
      <c r="E20" s="7" t="s">
        <v>1323</v>
      </c>
      <c r="F20" s="13" t="s">
        <v>456</v>
      </c>
      <c r="G20" s="5" t="s">
        <v>392</v>
      </c>
      <c r="H20" s="5" t="s">
        <v>352</v>
      </c>
      <c r="I20" s="5" t="s">
        <v>371</v>
      </c>
      <c r="J20" s="13" t="s">
        <v>363</v>
      </c>
      <c r="K20" s="5" t="s">
        <v>355</v>
      </c>
      <c r="L20" s="5" t="s">
        <v>355</v>
      </c>
      <c r="M20" s="5" t="s">
        <v>356</v>
      </c>
      <c r="N20" s="14"/>
    </row>
    <row r="21" ht="18.95" customHeight="1" spans="1:14">
      <c r="A21" s="5"/>
      <c r="B21" s="5" t="s">
        <v>346</v>
      </c>
      <c r="C21" s="6" t="s">
        <v>1324</v>
      </c>
      <c r="D21" s="9" t="s">
        <v>1325</v>
      </c>
      <c r="E21" s="7"/>
      <c r="F21" s="13"/>
      <c r="G21" s="5"/>
      <c r="H21" s="5"/>
      <c r="I21" s="5"/>
      <c r="J21" s="5"/>
      <c r="K21" s="5"/>
      <c r="L21" s="5"/>
      <c r="M21" s="5"/>
      <c r="N21" s="14"/>
    </row>
    <row r="22" ht="32.25" customHeight="1" spans="1:14">
      <c r="A22" s="5" t="s">
        <v>1326</v>
      </c>
      <c r="B22" s="5" t="s">
        <v>396</v>
      </c>
      <c r="C22" s="6" t="s">
        <v>1327</v>
      </c>
      <c r="D22" s="9" t="s">
        <v>1328</v>
      </c>
      <c r="E22" s="7" t="s">
        <v>1329</v>
      </c>
      <c r="F22" s="13" t="s">
        <v>456</v>
      </c>
      <c r="G22" s="15" t="s">
        <v>436</v>
      </c>
      <c r="H22" s="5" t="s">
        <v>352</v>
      </c>
      <c r="I22" s="5" t="s">
        <v>353</v>
      </c>
      <c r="J22" s="13" t="s">
        <v>363</v>
      </c>
      <c r="K22" s="5" t="s">
        <v>355</v>
      </c>
      <c r="L22" s="5" t="s">
        <v>355</v>
      </c>
      <c r="M22" s="5" t="s">
        <v>356</v>
      </c>
      <c r="N22" s="9"/>
    </row>
    <row r="23" ht="45.75" customHeight="1" spans="1:14">
      <c r="A23" s="5"/>
      <c r="B23" s="5" t="s">
        <v>346</v>
      </c>
      <c r="C23" s="6" t="s">
        <v>1330</v>
      </c>
      <c r="D23" s="9" t="s">
        <v>1331</v>
      </c>
      <c r="E23" s="7"/>
      <c r="F23" s="13"/>
      <c r="G23" s="15"/>
      <c r="H23" s="5"/>
      <c r="I23" s="5"/>
      <c r="J23" s="13"/>
      <c r="K23" s="5"/>
      <c r="L23" s="5"/>
      <c r="M23" s="5"/>
      <c r="N23" s="9"/>
    </row>
    <row r="24" ht="45.75" customHeight="1" spans="1:14">
      <c r="A24" s="5"/>
      <c r="B24" s="5" t="s">
        <v>464</v>
      </c>
      <c r="C24" s="6" t="s">
        <v>1332</v>
      </c>
      <c r="D24" s="9" t="s">
        <v>1333</v>
      </c>
      <c r="E24" s="7"/>
      <c r="F24" s="13"/>
      <c r="G24" s="15"/>
      <c r="H24" s="5"/>
      <c r="I24" s="5"/>
      <c r="J24" s="13"/>
      <c r="K24" s="5"/>
      <c r="L24" s="5"/>
      <c r="M24" s="5"/>
      <c r="N24" s="9" t="s">
        <v>468</v>
      </c>
    </row>
    <row r="25" spans="1:14">
      <c r="A25" s="5" t="s">
        <v>1334</v>
      </c>
      <c r="B25" s="5" t="s">
        <v>396</v>
      </c>
      <c r="C25" s="6" t="s">
        <v>1335</v>
      </c>
      <c r="D25" s="9" t="s">
        <v>1336</v>
      </c>
      <c r="E25" s="7" t="s">
        <v>1337</v>
      </c>
      <c r="F25" s="13" t="s">
        <v>456</v>
      </c>
      <c r="G25" s="15" t="s">
        <v>436</v>
      </c>
      <c r="H25" s="5" t="s">
        <v>352</v>
      </c>
      <c r="I25" s="5" t="s">
        <v>353</v>
      </c>
      <c r="J25" s="13" t="s">
        <v>363</v>
      </c>
      <c r="K25" s="5" t="s">
        <v>355</v>
      </c>
      <c r="L25" s="5" t="s">
        <v>355</v>
      </c>
      <c r="M25" s="5" t="s">
        <v>356</v>
      </c>
      <c r="N25" s="9"/>
    </row>
    <row r="26" ht="36.75" customHeight="1" spans="1:14">
      <c r="A26" s="5"/>
      <c r="B26" s="5" t="s">
        <v>346</v>
      </c>
      <c r="C26" s="6" t="s">
        <v>1338</v>
      </c>
      <c r="D26" s="9" t="s">
        <v>1339</v>
      </c>
      <c r="E26" s="7"/>
      <c r="F26" s="13"/>
      <c r="G26" s="15"/>
      <c r="H26" s="5"/>
      <c r="I26" s="5"/>
      <c r="J26" s="13"/>
      <c r="K26" s="5"/>
      <c r="L26" s="5"/>
      <c r="M26" s="5"/>
      <c r="N26" s="9"/>
    </row>
    <row r="27" ht="36.75" customHeight="1" spans="1:14">
      <c r="A27" s="5"/>
      <c r="B27" s="5" t="s">
        <v>464</v>
      </c>
      <c r="C27" s="6" t="s">
        <v>1340</v>
      </c>
      <c r="D27" s="9" t="s">
        <v>1341</v>
      </c>
      <c r="E27" s="7"/>
      <c r="F27" s="13"/>
      <c r="G27" s="15"/>
      <c r="H27" s="5"/>
      <c r="I27" s="5"/>
      <c r="J27" s="13"/>
      <c r="K27" s="5"/>
      <c r="L27" s="5"/>
      <c r="M27" s="5"/>
      <c r="N27" s="9" t="s">
        <v>468</v>
      </c>
    </row>
    <row r="28" ht="59.25" customHeight="1" spans="1:14">
      <c r="A28" s="5" t="s">
        <v>1342</v>
      </c>
      <c r="B28" s="5" t="s">
        <v>387</v>
      </c>
      <c r="C28" s="6" t="s">
        <v>1343</v>
      </c>
      <c r="D28" s="6" t="s">
        <v>1344</v>
      </c>
      <c r="E28" s="7" t="s">
        <v>1345</v>
      </c>
      <c r="F28" s="13" t="s">
        <v>456</v>
      </c>
      <c r="G28" s="5" t="s">
        <v>1346</v>
      </c>
      <c r="H28" s="5" t="s">
        <v>535</v>
      </c>
      <c r="I28" s="5" t="s">
        <v>353</v>
      </c>
      <c r="J28" s="13" t="s">
        <v>363</v>
      </c>
      <c r="K28" s="5" t="s">
        <v>355</v>
      </c>
      <c r="L28" s="5" t="s">
        <v>523</v>
      </c>
      <c r="M28" s="5" t="s">
        <v>356</v>
      </c>
      <c r="N28" s="5"/>
    </row>
    <row r="29" ht="59.25" customHeight="1" spans="1:14">
      <c r="A29" s="5"/>
      <c r="B29" s="5" t="s">
        <v>346</v>
      </c>
      <c r="C29" s="6" t="s">
        <v>1347</v>
      </c>
      <c r="D29" s="6" t="s">
        <v>1348</v>
      </c>
      <c r="E29" s="7"/>
      <c r="F29" s="13"/>
      <c r="G29" s="5"/>
      <c r="H29" s="5"/>
      <c r="I29" s="5"/>
      <c r="J29" s="5"/>
      <c r="K29" s="5"/>
      <c r="L29" s="5"/>
      <c r="M29" s="5"/>
      <c r="N29" s="5"/>
    </row>
    <row r="30" ht="19.5" customHeight="1" spans="1:14">
      <c r="A30" s="5" t="s">
        <v>1349</v>
      </c>
      <c r="B30" s="5" t="s">
        <v>387</v>
      </c>
      <c r="C30" s="12" t="s">
        <v>1350</v>
      </c>
      <c r="D30" s="6" t="s">
        <v>1351</v>
      </c>
      <c r="E30" s="12" t="s">
        <v>1352</v>
      </c>
      <c r="F30" s="5" t="s">
        <v>456</v>
      </c>
      <c r="G30" s="5" t="s">
        <v>392</v>
      </c>
      <c r="H30" s="5" t="s">
        <v>535</v>
      </c>
      <c r="I30" s="5" t="s">
        <v>1265</v>
      </c>
      <c r="J30" s="13" t="s">
        <v>363</v>
      </c>
      <c r="K30" s="5" t="s">
        <v>355</v>
      </c>
      <c r="L30" s="5" t="s">
        <v>355</v>
      </c>
      <c r="M30" s="5" t="s">
        <v>356</v>
      </c>
      <c r="N30" s="5" t="s">
        <v>1266</v>
      </c>
    </row>
    <row r="31" ht="26.25" customHeight="1" spans="1:14">
      <c r="A31" s="5"/>
      <c r="B31" s="5" t="s">
        <v>346</v>
      </c>
      <c r="C31" s="12" t="s">
        <v>1353</v>
      </c>
      <c r="D31" s="6" t="s">
        <v>1354</v>
      </c>
      <c r="E31" s="6"/>
      <c r="F31" s="5"/>
      <c r="G31" s="5"/>
      <c r="H31" s="5"/>
      <c r="I31" s="5"/>
      <c r="J31" s="13"/>
      <c r="K31" s="5"/>
      <c r="L31" s="5"/>
      <c r="M31" s="5"/>
      <c r="N31" s="5"/>
    </row>
    <row r="32" ht="26.25" customHeight="1" spans="1:14">
      <c r="A32" s="5"/>
      <c r="B32" s="5" t="s">
        <v>464</v>
      </c>
      <c r="C32" s="12" t="s">
        <v>1355</v>
      </c>
      <c r="D32" s="6" t="s">
        <v>1356</v>
      </c>
      <c r="E32" s="6"/>
      <c r="F32" s="5"/>
      <c r="G32" s="5"/>
      <c r="H32" s="5"/>
      <c r="I32" s="5"/>
      <c r="J32" s="13"/>
      <c r="K32" s="5"/>
      <c r="L32" s="5"/>
      <c r="M32" s="5"/>
      <c r="N32" s="104" t="s">
        <v>1357</v>
      </c>
    </row>
    <row r="33" ht="22.5" customHeight="1" spans="1:14">
      <c r="A33" s="5" t="s">
        <v>1358</v>
      </c>
      <c r="B33" s="5" t="s">
        <v>387</v>
      </c>
      <c r="C33" s="12" t="s">
        <v>1359</v>
      </c>
      <c r="D33" s="6" t="s">
        <v>1360</v>
      </c>
      <c r="E33" s="12" t="s">
        <v>1361</v>
      </c>
      <c r="F33" s="5" t="s">
        <v>456</v>
      </c>
      <c r="G33" s="5" t="s">
        <v>392</v>
      </c>
      <c r="H33" s="5" t="s">
        <v>535</v>
      </c>
      <c r="I33" s="5" t="s">
        <v>1265</v>
      </c>
      <c r="J33" s="13" t="s">
        <v>363</v>
      </c>
      <c r="K33" s="5" t="s">
        <v>355</v>
      </c>
      <c r="L33" s="5" t="s">
        <v>355</v>
      </c>
      <c r="M33" s="5" t="s">
        <v>356</v>
      </c>
      <c r="N33" s="19" t="s">
        <v>1266</v>
      </c>
    </row>
    <row r="34" ht="40.5" customHeight="1" spans="1:14">
      <c r="A34" s="5"/>
      <c r="B34" s="5" t="s">
        <v>346</v>
      </c>
      <c r="C34" s="12" t="s">
        <v>1362</v>
      </c>
      <c r="D34" s="6" t="s">
        <v>1363</v>
      </c>
      <c r="E34" s="12"/>
      <c r="F34" s="5"/>
      <c r="G34" s="5"/>
      <c r="H34" s="5"/>
      <c r="I34" s="5"/>
      <c r="J34" s="13"/>
      <c r="K34" s="5"/>
      <c r="L34" s="5"/>
      <c r="M34" s="5"/>
      <c r="N34" s="59"/>
    </row>
    <row r="35" ht="40.5" customHeight="1" spans="1:14">
      <c r="A35" s="5"/>
      <c r="B35" s="5" t="s">
        <v>464</v>
      </c>
      <c r="C35" s="12" t="s">
        <v>1364</v>
      </c>
      <c r="D35" s="6" t="s">
        <v>1365</v>
      </c>
      <c r="E35" s="6"/>
      <c r="F35" s="5"/>
      <c r="G35" s="5"/>
      <c r="H35" s="5"/>
      <c r="I35" s="5"/>
      <c r="J35" s="13"/>
      <c r="K35" s="5"/>
      <c r="L35" s="5"/>
      <c r="M35" s="5"/>
      <c r="N35" s="104" t="s">
        <v>1357</v>
      </c>
    </row>
  </sheetData>
  <mergeCells count="123">
    <mergeCell ref="A2:A5"/>
    <mergeCell ref="A6:A9"/>
    <mergeCell ref="A12:A13"/>
    <mergeCell ref="A14:A15"/>
    <mergeCell ref="A16:A17"/>
    <mergeCell ref="A18:A19"/>
    <mergeCell ref="A20:A21"/>
    <mergeCell ref="A22:A24"/>
    <mergeCell ref="A25:A27"/>
    <mergeCell ref="A28:A29"/>
    <mergeCell ref="A30:A32"/>
    <mergeCell ref="A33:A35"/>
    <mergeCell ref="E2:E5"/>
    <mergeCell ref="E6:E9"/>
    <mergeCell ref="E12:E13"/>
    <mergeCell ref="E14:E15"/>
    <mergeCell ref="E16:E17"/>
    <mergeCell ref="E18:E19"/>
    <mergeCell ref="E20:E21"/>
    <mergeCell ref="E22:E24"/>
    <mergeCell ref="E25:E27"/>
    <mergeCell ref="E28:E29"/>
    <mergeCell ref="E30:E32"/>
    <mergeCell ref="E33:E35"/>
    <mergeCell ref="F2:F5"/>
    <mergeCell ref="F6:F9"/>
    <mergeCell ref="F12:F13"/>
    <mergeCell ref="F14:F15"/>
    <mergeCell ref="F16:F17"/>
    <mergeCell ref="F18:F19"/>
    <mergeCell ref="F20:F21"/>
    <mergeCell ref="F22:F24"/>
    <mergeCell ref="F25:F27"/>
    <mergeCell ref="F28:F29"/>
    <mergeCell ref="F30:F32"/>
    <mergeCell ref="F33:F35"/>
    <mergeCell ref="G2:G5"/>
    <mergeCell ref="G6:G9"/>
    <mergeCell ref="G12:G13"/>
    <mergeCell ref="G14:G15"/>
    <mergeCell ref="G16:G17"/>
    <mergeCell ref="G18:G19"/>
    <mergeCell ref="G20:G21"/>
    <mergeCell ref="G22:G24"/>
    <mergeCell ref="G25:G27"/>
    <mergeCell ref="G28:G29"/>
    <mergeCell ref="G30:G32"/>
    <mergeCell ref="G33:G35"/>
    <mergeCell ref="H2:H5"/>
    <mergeCell ref="H6:H9"/>
    <mergeCell ref="H12:H13"/>
    <mergeCell ref="H14:H15"/>
    <mergeCell ref="H16:H17"/>
    <mergeCell ref="H18:H19"/>
    <mergeCell ref="H20:H21"/>
    <mergeCell ref="H22:H24"/>
    <mergeCell ref="H25:H27"/>
    <mergeCell ref="H28:H29"/>
    <mergeCell ref="H30:H32"/>
    <mergeCell ref="H33:H35"/>
    <mergeCell ref="I2:I5"/>
    <mergeCell ref="I6:I9"/>
    <mergeCell ref="I12:I13"/>
    <mergeCell ref="I14:I15"/>
    <mergeCell ref="I16:I17"/>
    <mergeCell ref="I18:I19"/>
    <mergeCell ref="I20:I21"/>
    <mergeCell ref="I22:I24"/>
    <mergeCell ref="I25:I27"/>
    <mergeCell ref="I28:I29"/>
    <mergeCell ref="I30:I32"/>
    <mergeCell ref="I33:I35"/>
    <mergeCell ref="J2:J5"/>
    <mergeCell ref="J6:J9"/>
    <mergeCell ref="J12:J13"/>
    <mergeCell ref="J14:J15"/>
    <mergeCell ref="J16:J17"/>
    <mergeCell ref="J18:J19"/>
    <mergeCell ref="J20:J21"/>
    <mergeCell ref="J22:J24"/>
    <mergeCell ref="J25:J27"/>
    <mergeCell ref="J28:J29"/>
    <mergeCell ref="J30:J32"/>
    <mergeCell ref="J33:J35"/>
    <mergeCell ref="K2:K5"/>
    <mergeCell ref="K6:K9"/>
    <mergeCell ref="K12:K13"/>
    <mergeCell ref="K14:K15"/>
    <mergeCell ref="K16:K17"/>
    <mergeCell ref="K18:K19"/>
    <mergeCell ref="K20:K21"/>
    <mergeCell ref="K22:K24"/>
    <mergeCell ref="K25:K27"/>
    <mergeCell ref="K28:K29"/>
    <mergeCell ref="K30:K32"/>
    <mergeCell ref="K33:K35"/>
    <mergeCell ref="L2:L5"/>
    <mergeCell ref="L6:L9"/>
    <mergeCell ref="L12:L13"/>
    <mergeCell ref="L14:L15"/>
    <mergeCell ref="L16:L17"/>
    <mergeCell ref="L18:L19"/>
    <mergeCell ref="L20:L21"/>
    <mergeCell ref="L22:L24"/>
    <mergeCell ref="L25:L27"/>
    <mergeCell ref="L28:L29"/>
    <mergeCell ref="L30:L32"/>
    <mergeCell ref="L33:L35"/>
    <mergeCell ref="M2:M5"/>
    <mergeCell ref="M6:M9"/>
    <mergeCell ref="M12:M13"/>
    <mergeCell ref="M14:M15"/>
    <mergeCell ref="M16:M17"/>
    <mergeCell ref="M18:M19"/>
    <mergeCell ref="M20:M21"/>
    <mergeCell ref="M22:M24"/>
    <mergeCell ref="M25:M27"/>
    <mergeCell ref="M28:M29"/>
    <mergeCell ref="M30:M32"/>
    <mergeCell ref="M33:M35"/>
    <mergeCell ref="N28:N29"/>
    <mergeCell ref="N30:N31"/>
    <mergeCell ref="N33:N34"/>
  </mergeCells>
  <pageMargins left="0.75" right="0.75" top="1" bottom="1" header="0.5" footer="0.5"/>
  <pageSetup paperSize="9" orientation="portrait"/>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N56"/>
  <sheetViews>
    <sheetView topLeftCell="A7" workbookViewId="0">
      <selection activeCell="D15" sqref="D15"/>
    </sheetView>
  </sheetViews>
  <sheetFormatPr defaultColWidth="9" defaultRowHeight="13"/>
  <cols>
    <col min="1" max="1" width="9" style="1"/>
    <col min="2" max="2" width="7.64" style="1" customWidth="1"/>
    <col min="3" max="3" width="28.14" style="1" customWidth="1"/>
    <col min="4" max="4" width="25.57" style="1" customWidth="1"/>
    <col min="5" max="5" width="42.86" style="1" customWidth="1"/>
    <col min="6" max="6" width="7.43" style="1" customWidth="1"/>
    <col min="7" max="7" width="9" style="1"/>
    <col min="8" max="8" width="9.64" style="1" customWidth="1"/>
    <col min="9" max="9" width="9" style="1"/>
    <col min="10" max="10" width="16.43" style="1" customWidth="1"/>
    <col min="11" max="12" width="9" style="1"/>
    <col min="13" max="13" width="9.64" style="1" customWidth="1"/>
    <col min="14" max="14" width="18.43" style="1" customWidth="1"/>
    <col min="15" max="16384" width="9" style="1"/>
  </cols>
  <sheetData>
    <row r="1" spans="1:14">
      <c r="A1" s="4" t="s">
        <v>332</v>
      </c>
      <c r="B1" s="4" t="s">
        <v>333</v>
      </c>
      <c r="C1" s="4" t="s">
        <v>334</v>
      </c>
      <c r="D1" s="4" t="s">
        <v>335</v>
      </c>
      <c r="E1" s="4" t="s">
        <v>336</v>
      </c>
      <c r="F1" s="4" t="s">
        <v>337</v>
      </c>
      <c r="G1" s="4" t="s">
        <v>338</v>
      </c>
      <c r="H1" s="4" t="s">
        <v>339</v>
      </c>
      <c r="I1" s="4" t="s">
        <v>340</v>
      </c>
      <c r="J1" s="4" t="s">
        <v>341</v>
      </c>
      <c r="K1" s="4" t="s">
        <v>342</v>
      </c>
      <c r="L1" s="4" t="s">
        <v>343</v>
      </c>
      <c r="M1" s="4" t="s">
        <v>344</v>
      </c>
      <c r="N1" s="4" t="s">
        <v>235</v>
      </c>
    </row>
    <row r="2" spans="1:14">
      <c r="A2" s="5" t="s">
        <v>1366</v>
      </c>
      <c r="B2" s="5" t="s">
        <v>396</v>
      </c>
      <c r="C2" s="12" t="s">
        <v>1367</v>
      </c>
      <c r="D2" s="6" t="s">
        <v>1368</v>
      </c>
      <c r="E2" s="6" t="s">
        <v>1369</v>
      </c>
      <c r="F2" s="5" t="s">
        <v>456</v>
      </c>
      <c r="G2" s="5" t="s">
        <v>436</v>
      </c>
      <c r="H2" s="5" t="s">
        <v>352</v>
      </c>
      <c r="I2" s="5" t="s">
        <v>371</v>
      </c>
      <c r="J2" s="13" t="s">
        <v>363</v>
      </c>
      <c r="K2" s="5" t="s">
        <v>355</v>
      </c>
      <c r="L2" s="5" t="s">
        <v>355</v>
      </c>
      <c r="M2" s="5" t="s">
        <v>356</v>
      </c>
      <c r="N2" s="5"/>
    </row>
    <row r="3" ht="27" customHeight="1" spans="1:14">
      <c r="A3" s="5"/>
      <c r="B3" s="5" t="s">
        <v>396</v>
      </c>
      <c r="C3" s="12" t="s">
        <v>1370</v>
      </c>
      <c r="D3" s="6" t="s">
        <v>1371</v>
      </c>
      <c r="E3" s="6"/>
      <c r="F3" s="5"/>
      <c r="G3" s="5"/>
      <c r="H3" s="5"/>
      <c r="I3" s="5"/>
      <c r="J3" s="13"/>
      <c r="K3" s="5"/>
      <c r="L3" s="5"/>
      <c r="M3" s="5"/>
      <c r="N3" s="5"/>
    </row>
    <row r="4" ht="27" customHeight="1" spans="1:14">
      <c r="A4" s="5"/>
      <c r="B4" s="5" t="s">
        <v>396</v>
      </c>
      <c r="C4" s="12" t="s">
        <v>1372</v>
      </c>
      <c r="D4" s="6" t="s">
        <v>1373</v>
      </c>
      <c r="E4" s="6"/>
      <c r="F4" s="5"/>
      <c r="G4" s="5"/>
      <c r="H4" s="5"/>
      <c r="I4" s="5"/>
      <c r="J4" s="13"/>
      <c r="K4" s="5"/>
      <c r="L4" s="5"/>
      <c r="M4" s="5"/>
      <c r="N4" s="5"/>
    </row>
    <row r="5" ht="27" customHeight="1" spans="1:14">
      <c r="A5" s="5"/>
      <c r="B5" s="5" t="s">
        <v>396</v>
      </c>
      <c r="C5" s="12" t="s">
        <v>1374</v>
      </c>
      <c r="D5" s="6" t="s">
        <v>1375</v>
      </c>
      <c r="E5" s="6"/>
      <c r="F5" s="5"/>
      <c r="G5" s="5"/>
      <c r="H5" s="5"/>
      <c r="I5" s="5"/>
      <c r="J5" s="13"/>
      <c r="K5" s="5"/>
      <c r="L5" s="5"/>
      <c r="M5" s="5"/>
      <c r="N5" s="5"/>
    </row>
    <row r="6" ht="31.5" customHeight="1" spans="1:14">
      <c r="A6" s="5" t="s">
        <v>1376</v>
      </c>
      <c r="B6" s="5" t="s">
        <v>387</v>
      </c>
      <c r="C6" s="6" t="s">
        <v>1377</v>
      </c>
      <c r="D6" s="6" t="s">
        <v>1378</v>
      </c>
      <c r="E6" s="6" t="s">
        <v>1379</v>
      </c>
      <c r="F6" s="5" t="s">
        <v>456</v>
      </c>
      <c r="G6" s="5" t="s">
        <v>369</v>
      </c>
      <c r="H6" s="5" t="s">
        <v>462</v>
      </c>
      <c r="I6" s="5" t="s">
        <v>371</v>
      </c>
      <c r="J6" s="13" t="s">
        <v>363</v>
      </c>
      <c r="K6" s="5" t="s">
        <v>355</v>
      </c>
      <c r="L6" s="5" t="s">
        <v>355</v>
      </c>
      <c r="M6" s="5" t="s">
        <v>356</v>
      </c>
      <c r="N6" s="5"/>
    </row>
    <row r="7" ht="63.75" customHeight="1" spans="1:14">
      <c r="A7" s="5" t="s">
        <v>1380</v>
      </c>
      <c r="B7" s="5" t="s">
        <v>387</v>
      </c>
      <c r="C7" s="6" t="s">
        <v>1381</v>
      </c>
      <c r="D7" s="6" t="s">
        <v>1382</v>
      </c>
      <c r="E7" s="6" t="s">
        <v>1383</v>
      </c>
      <c r="F7" s="5" t="s">
        <v>456</v>
      </c>
      <c r="G7" s="5" t="s">
        <v>369</v>
      </c>
      <c r="H7" s="5" t="s">
        <v>462</v>
      </c>
      <c r="I7" s="5" t="s">
        <v>371</v>
      </c>
      <c r="J7" s="13" t="s">
        <v>363</v>
      </c>
      <c r="K7" s="5" t="s">
        <v>355</v>
      </c>
      <c r="L7" s="5" t="s">
        <v>355</v>
      </c>
      <c r="M7" s="5" t="s">
        <v>356</v>
      </c>
      <c r="N7" s="5"/>
    </row>
    <row r="8" ht="26" spans="1:14">
      <c r="A8" s="5" t="s">
        <v>1384</v>
      </c>
      <c r="B8" s="5" t="s">
        <v>387</v>
      </c>
      <c r="C8" s="6" t="s">
        <v>1385</v>
      </c>
      <c r="D8" s="6" t="s">
        <v>1386</v>
      </c>
      <c r="E8" s="6" t="s">
        <v>1387</v>
      </c>
      <c r="F8" s="5" t="s">
        <v>456</v>
      </c>
      <c r="G8" s="5" t="s">
        <v>436</v>
      </c>
      <c r="H8" s="5" t="s">
        <v>462</v>
      </c>
      <c r="I8" s="5" t="s">
        <v>371</v>
      </c>
      <c r="J8" s="13" t="s">
        <v>363</v>
      </c>
      <c r="K8" s="5" t="s">
        <v>355</v>
      </c>
      <c r="L8" s="5" t="s">
        <v>355</v>
      </c>
      <c r="M8" s="5" t="s">
        <v>356</v>
      </c>
      <c r="N8" s="5"/>
    </row>
    <row r="9" ht="26" spans="1:14">
      <c r="A9" s="5" t="s">
        <v>1388</v>
      </c>
      <c r="B9" s="5" t="s">
        <v>387</v>
      </c>
      <c r="C9" s="6" t="s">
        <v>1389</v>
      </c>
      <c r="D9" s="6" t="s">
        <v>1390</v>
      </c>
      <c r="E9" s="6" t="s">
        <v>1391</v>
      </c>
      <c r="F9" s="5" t="s">
        <v>456</v>
      </c>
      <c r="G9" s="5" t="s">
        <v>436</v>
      </c>
      <c r="H9" s="5" t="s">
        <v>462</v>
      </c>
      <c r="I9" s="5" t="s">
        <v>371</v>
      </c>
      <c r="J9" s="13" t="s">
        <v>363</v>
      </c>
      <c r="K9" s="5" t="s">
        <v>355</v>
      </c>
      <c r="L9" s="5" t="s">
        <v>355</v>
      </c>
      <c r="M9" s="5" t="s">
        <v>356</v>
      </c>
      <c r="N9" s="5"/>
    </row>
    <row r="10" spans="1:14">
      <c r="A10" s="5" t="s">
        <v>1392</v>
      </c>
      <c r="B10" s="5" t="s">
        <v>346</v>
      </c>
      <c r="C10" s="6" t="s">
        <v>1393</v>
      </c>
      <c r="D10" s="6" t="s">
        <v>1394</v>
      </c>
      <c r="E10" s="13" t="s">
        <v>1395</v>
      </c>
      <c r="F10" s="13" t="s">
        <v>456</v>
      </c>
      <c r="G10" s="13" t="s">
        <v>860</v>
      </c>
      <c r="H10" s="13" t="s">
        <v>352</v>
      </c>
      <c r="I10" s="13" t="s">
        <v>1396</v>
      </c>
      <c r="J10" s="13" t="s">
        <v>363</v>
      </c>
      <c r="K10" s="13" t="s">
        <v>355</v>
      </c>
      <c r="L10" s="13" t="s">
        <v>355</v>
      </c>
      <c r="M10" s="13" t="s">
        <v>356</v>
      </c>
      <c r="N10" s="13"/>
    </row>
    <row r="11" ht="26" spans="1:14">
      <c r="A11" s="5"/>
      <c r="B11" s="5" t="s">
        <v>396</v>
      </c>
      <c r="C11" s="6" t="s">
        <v>1397</v>
      </c>
      <c r="D11" s="6" t="s">
        <v>1398</v>
      </c>
      <c r="E11" s="13"/>
      <c r="F11" s="13"/>
      <c r="G11" s="13"/>
      <c r="H11" s="13"/>
      <c r="I11" s="13"/>
      <c r="J11" s="13"/>
      <c r="K11" s="13"/>
      <c r="L11" s="13"/>
      <c r="M11" s="13"/>
      <c r="N11" s="13"/>
    </row>
    <row r="12" ht="26" spans="1:14">
      <c r="A12" s="5"/>
      <c r="B12" s="5" t="s">
        <v>396</v>
      </c>
      <c r="C12" s="6" t="s">
        <v>1399</v>
      </c>
      <c r="D12" s="6" t="s">
        <v>1400</v>
      </c>
      <c r="E12" s="13"/>
      <c r="F12" s="13"/>
      <c r="G12" s="13" t="s">
        <v>436</v>
      </c>
      <c r="H12" s="13" t="s">
        <v>352</v>
      </c>
      <c r="I12" s="13" t="s">
        <v>1396</v>
      </c>
      <c r="J12" s="13"/>
      <c r="K12" s="13" t="s">
        <v>355</v>
      </c>
      <c r="L12" s="13" t="s">
        <v>355</v>
      </c>
      <c r="M12" s="13" t="s">
        <v>356</v>
      </c>
      <c r="N12" s="13"/>
    </row>
    <row r="13" ht="28.5" customHeight="1" spans="1:14">
      <c r="A13" s="5" t="s">
        <v>1401</v>
      </c>
      <c r="B13" s="5" t="s">
        <v>396</v>
      </c>
      <c r="C13" s="6" t="s">
        <v>1402</v>
      </c>
      <c r="D13" s="6" t="s">
        <v>1403</v>
      </c>
      <c r="E13" s="7" t="s">
        <v>1404</v>
      </c>
      <c r="F13" s="5" t="s">
        <v>456</v>
      </c>
      <c r="G13" s="5" t="s">
        <v>436</v>
      </c>
      <c r="H13" s="5" t="s">
        <v>352</v>
      </c>
      <c r="I13" s="5" t="s">
        <v>478</v>
      </c>
      <c r="J13" s="9" t="s">
        <v>363</v>
      </c>
      <c r="K13" s="5" t="s">
        <v>355</v>
      </c>
      <c r="L13" s="5" t="s">
        <v>355</v>
      </c>
      <c r="M13" s="5" t="s">
        <v>356</v>
      </c>
      <c r="N13" s="13" t="s">
        <v>1405</v>
      </c>
    </row>
    <row r="14" ht="28.5" customHeight="1" spans="1:14">
      <c r="A14" s="5"/>
      <c r="B14" s="5" t="s">
        <v>396</v>
      </c>
      <c r="C14" s="6" t="s">
        <v>1406</v>
      </c>
      <c r="D14" s="6" t="s">
        <v>1407</v>
      </c>
      <c r="E14" s="7"/>
      <c r="F14" s="5"/>
      <c r="G14" s="5"/>
      <c r="H14" s="5"/>
      <c r="I14" s="5"/>
      <c r="J14" s="9" t="s">
        <v>1408</v>
      </c>
      <c r="K14" s="5"/>
      <c r="L14" s="5"/>
      <c r="M14" s="5"/>
      <c r="N14" s="13"/>
    </row>
    <row r="15" ht="28.5" customHeight="1" spans="1:14">
      <c r="A15" s="5"/>
      <c r="B15" s="5" t="s">
        <v>396</v>
      </c>
      <c r="C15" s="6" t="s">
        <v>1409</v>
      </c>
      <c r="D15" s="6" t="s">
        <v>1410</v>
      </c>
      <c r="E15" s="7"/>
      <c r="F15" s="5"/>
      <c r="G15" s="5" t="s">
        <v>436</v>
      </c>
      <c r="H15" s="5" t="s">
        <v>352</v>
      </c>
      <c r="I15" s="5" t="s">
        <v>478</v>
      </c>
      <c r="J15" s="9" t="s">
        <v>1408</v>
      </c>
      <c r="K15" s="5" t="s">
        <v>355</v>
      </c>
      <c r="L15" s="5" t="s">
        <v>355</v>
      </c>
      <c r="M15" s="5" t="s">
        <v>356</v>
      </c>
      <c r="N15" s="13" t="s">
        <v>1405</v>
      </c>
    </row>
    <row r="16" ht="26" spans="1:14">
      <c r="A16" s="5" t="s">
        <v>1411</v>
      </c>
      <c r="B16" s="5" t="s">
        <v>396</v>
      </c>
      <c r="C16" s="9" t="s">
        <v>1412</v>
      </c>
      <c r="D16" s="9" t="s">
        <v>1413</v>
      </c>
      <c r="E16" s="9" t="s">
        <v>1414</v>
      </c>
      <c r="F16" s="5" t="s">
        <v>456</v>
      </c>
      <c r="G16" s="20" t="s">
        <v>436</v>
      </c>
      <c r="H16" s="20" t="s">
        <v>462</v>
      </c>
      <c r="I16" s="20" t="s">
        <v>478</v>
      </c>
      <c r="J16" s="13" t="s">
        <v>363</v>
      </c>
      <c r="K16" s="5" t="s">
        <v>355</v>
      </c>
      <c r="L16" s="5" t="s">
        <v>355</v>
      </c>
      <c r="M16" s="5" t="s">
        <v>356</v>
      </c>
      <c r="N16" s="9"/>
    </row>
    <row r="17" spans="1:14">
      <c r="A17" s="5" t="s">
        <v>1415</v>
      </c>
      <c r="B17" s="5" t="s">
        <v>346</v>
      </c>
      <c r="C17" s="6" t="s">
        <v>1416</v>
      </c>
      <c r="D17" s="6" t="s">
        <v>1417</v>
      </c>
      <c r="E17" s="13" t="s">
        <v>1418</v>
      </c>
      <c r="F17" s="5" t="s">
        <v>456</v>
      </c>
      <c r="G17" s="5" t="s">
        <v>436</v>
      </c>
      <c r="H17" s="5" t="s">
        <v>370</v>
      </c>
      <c r="I17" s="5" t="s">
        <v>371</v>
      </c>
      <c r="J17" s="13" t="s">
        <v>363</v>
      </c>
      <c r="K17" s="5" t="s">
        <v>355</v>
      </c>
      <c r="L17" s="5" t="s">
        <v>355</v>
      </c>
      <c r="M17" s="5" t="s">
        <v>356</v>
      </c>
      <c r="N17" s="9"/>
    </row>
    <row r="18" ht="39" spans="1:14">
      <c r="A18" s="5"/>
      <c r="B18" s="5" t="s">
        <v>373</v>
      </c>
      <c r="C18" s="6" t="s">
        <v>1419</v>
      </c>
      <c r="D18" s="9" t="s">
        <v>1420</v>
      </c>
      <c r="E18" s="13"/>
      <c r="F18" s="5"/>
      <c r="G18" s="5"/>
      <c r="H18" s="5"/>
      <c r="I18" s="5"/>
      <c r="J18" s="13"/>
      <c r="K18" s="5"/>
      <c r="L18" s="5"/>
      <c r="M18" s="5"/>
      <c r="N18" s="9" t="s">
        <v>376</v>
      </c>
    </row>
    <row r="19" spans="1:14">
      <c r="A19" s="5"/>
      <c r="B19" s="5" t="s">
        <v>346</v>
      </c>
      <c r="C19" s="6" t="s">
        <v>1421</v>
      </c>
      <c r="D19" s="9" t="s">
        <v>1422</v>
      </c>
      <c r="E19" s="13"/>
      <c r="F19" s="5"/>
      <c r="G19" s="5"/>
      <c r="H19" s="5"/>
      <c r="I19" s="5"/>
      <c r="J19" s="5"/>
      <c r="K19" s="5"/>
      <c r="L19" s="5"/>
      <c r="M19" s="5"/>
      <c r="N19" s="9"/>
    </row>
    <row r="20" spans="1:14">
      <c r="A20" s="5"/>
      <c r="B20" s="5" t="s">
        <v>346</v>
      </c>
      <c r="C20" s="6" t="s">
        <v>1423</v>
      </c>
      <c r="D20" s="9" t="s">
        <v>1424</v>
      </c>
      <c r="E20" s="13"/>
      <c r="F20" s="5"/>
      <c r="G20" s="5" t="s">
        <v>436</v>
      </c>
      <c r="H20" s="5" t="s">
        <v>370</v>
      </c>
      <c r="I20" s="5" t="s">
        <v>371</v>
      </c>
      <c r="J20" s="5"/>
      <c r="K20" s="5" t="s">
        <v>355</v>
      </c>
      <c r="L20" s="5" t="s">
        <v>355</v>
      </c>
      <c r="M20" s="5" t="s">
        <v>356</v>
      </c>
      <c r="N20" s="9"/>
    </row>
    <row r="21" spans="1:14">
      <c r="A21" s="5" t="s">
        <v>1425</v>
      </c>
      <c r="B21" s="5" t="s">
        <v>346</v>
      </c>
      <c r="C21" s="6" t="s">
        <v>1426</v>
      </c>
      <c r="D21" s="6" t="s">
        <v>1427</v>
      </c>
      <c r="E21" s="13" t="s">
        <v>1428</v>
      </c>
      <c r="F21" s="5" t="s">
        <v>456</v>
      </c>
      <c r="G21" s="5" t="s">
        <v>436</v>
      </c>
      <c r="H21" s="5" t="s">
        <v>370</v>
      </c>
      <c r="I21" s="5" t="s">
        <v>371</v>
      </c>
      <c r="J21" s="13" t="s">
        <v>363</v>
      </c>
      <c r="K21" s="5" t="s">
        <v>355</v>
      </c>
      <c r="L21" s="5" t="s">
        <v>355</v>
      </c>
      <c r="M21" s="5" t="s">
        <v>356</v>
      </c>
      <c r="N21" s="9"/>
    </row>
    <row r="22" ht="39" spans="1:14">
      <c r="A22" s="5"/>
      <c r="B22" s="5" t="s">
        <v>373</v>
      </c>
      <c r="C22" s="6" t="s">
        <v>1429</v>
      </c>
      <c r="D22" s="9" t="s">
        <v>1430</v>
      </c>
      <c r="E22" s="13"/>
      <c r="F22" s="5"/>
      <c r="G22" s="5"/>
      <c r="H22" s="5"/>
      <c r="I22" s="5"/>
      <c r="J22" s="13"/>
      <c r="K22" s="5"/>
      <c r="L22" s="5"/>
      <c r="M22" s="5"/>
      <c r="N22" s="9" t="s">
        <v>376</v>
      </c>
    </row>
    <row r="23" spans="1:14">
      <c r="A23" s="5"/>
      <c r="B23" s="5" t="s">
        <v>346</v>
      </c>
      <c r="C23" s="6" t="s">
        <v>1431</v>
      </c>
      <c r="D23" s="9" t="s">
        <v>1432</v>
      </c>
      <c r="E23" s="13"/>
      <c r="F23" s="5"/>
      <c r="G23" s="5"/>
      <c r="H23" s="5"/>
      <c r="I23" s="5"/>
      <c r="J23" s="5"/>
      <c r="K23" s="5"/>
      <c r="L23" s="5"/>
      <c r="M23" s="5"/>
      <c r="N23" s="9"/>
    </row>
    <row r="24" spans="1:14">
      <c r="A24" s="5" t="s">
        <v>1433</v>
      </c>
      <c r="B24" s="5" t="s">
        <v>346</v>
      </c>
      <c r="C24" s="6" t="s">
        <v>1434</v>
      </c>
      <c r="D24" s="9" t="s">
        <v>1435</v>
      </c>
      <c r="E24" s="13"/>
      <c r="F24" s="5"/>
      <c r="G24" s="5" t="s">
        <v>436</v>
      </c>
      <c r="H24" s="5" t="s">
        <v>370</v>
      </c>
      <c r="I24" s="5" t="s">
        <v>371</v>
      </c>
      <c r="J24" s="5"/>
      <c r="K24" s="5" t="s">
        <v>355</v>
      </c>
      <c r="L24" s="5" t="s">
        <v>355</v>
      </c>
      <c r="M24" s="5" t="s">
        <v>356</v>
      </c>
      <c r="N24" s="9"/>
    </row>
    <row r="25" ht="30" customHeight="1" spans="1:14">
      <c r="A25" s="5" t="s">
        <v>1436</v>
      </c>
      <c r="B25" s="5" t="s">
        <v>387</v>
      </c>
      <c r="C25" s="6" t="s">
        <v>1437</v>
      </c>
      <c r="D25" s="6" t="s">
        <v>1438</v>
      </c>
      <c r="E25" s="7" t="s">
        <v>1439</v>
      </c>
      <c r="F25" s="5" t="s">
        <v>456</v>
      </c>
      <c r="G25" s="5" t="s">
        <v>436</v>
      </c>
      <c r="H25" s="5" t="s">
        <v>370</v>
      </c>
      <c r="I25" s="5" t="s">
        <v>371</v>
      </c>
      <c r="J25" s="13" t="s">
        <v>363</v>
      </c>
      <c r="K25" s="5" t="s">
        <v>355</v>
      </c>
      <c r="L25" s="5" t="s">
        <v>355</v>
      </c>
      <c r="M25" s="5" t="s">
        <v>356</v>
      </c>
      <c r="N25" s="14"/>
    </row>
    <row r="26" ht="30" customHeight="1" spans="1:14">
      <c r="A26" s="5"/>
      <c r="B26" s="5" t="s">
        <v>464</v>
      </c>
      <c r="C26" s="6" t="s">
        <v>1440</v>
      </c>
      <c r="D26" s="6" t="s">
        <v>1441</v>
      </c>
      <c r="E26" s="7"/>
      <c r="F26" s="5"/>
      <c r="G26" s="5" t="s">
        <v>436</v>
      </c>
      <c r="H26" s="5" t="s">
        <v>370</v>
      </c>
      <c r="I26" s="5" t="s">
        <v>371</v>
      </c>
      <c r="J26" s="5"/>
      <c r="K26" s="5" t="s">
        <v>355</v>
      </c>
      <c r="L26" s="5" t="s">
        <v>355</v>
      </c>
      <c r="M26" s="5" t="s">
        <v>356</v>
      </c>
      <c r="N26" s="9" t="s">
        <v>1442</v>
      </c>
    </row>
    <row r="27" ht="27.75" customHeight="1" spans="1:14">
      <c r="A27" s="5" t="s">
        <v>1443</v>
      </c>
      <c r="B27" s="5" t="s">
        <v>387</v>
      </c>
      <c r="C27" s="6" t="s">
        <v>1444</v>
      </c>
      <c r="D27" s="6" t="s">
        <v>1445</v>
      </c>
      <c r="E27" s="7" t="s">
        <v>1446</v>
      </c>
      <c r="F27" s="5" t="s">
        <v>456</v>
      </c>
      <c r="G27" s="5" t="s">
        <v>436</v>
      </c>
      <c r="H27" s="5" t="s">
        <v>370</v>
      </c>
      <c r="I27" s="5" t="s">
        <v>371</v>
      </c>
      <c r="J27" s="13" t="s">
        <v>363</v>
      </c>
      <c r="K27" s="5" t="s">
        <v>355</v>
      </c>
      <c r="L27" s="5" t="s">
        <v>355</v>
      </c>
      <c r="M27" s="5" t="s">
        <v>356</v>
      </c>
      <c r="N27" s="14"/>
    </row>
    <row r="28" ht="27.75" customHeight="1" spans="1:14">
      <c r="A28" s="5"/>
      <c r="B28" s="5" t="s">
        <v>464</v>
      </c>
      <c r="C28" s="6" t="s">
        <v>1447</v>
      </c>
      <c r="D28" s="6" t="s">
        <v>1448</v>
      </c>
      <c r="E28" s="7"/>
      <c r="F28" s="5" t="s">
        <v>456</v>
      </c>
      <c r="G28" s="5" t="s">
        <v>436</v>
      </c>
      <c r="H28" s="5" t="s">
        <v>370</v>
      </c>
      <c r="I28" s="5" t="s">
        <v>371</v>
      </c>
      <c r="J28" s="5"/>
      <c r="K28" s="5" t="s">
        <v>355</v>
      </c>
      <c r="L28" s="5" t="s">
        <v>355</v>
      </c>
      <c r="M28" s="5" t="s">
        <v>356</v>
      </c>
      <c r="N28" s="9" t="s">
        <v>1442</v>
      </c>
    </row>
    <row r="29" ht="30" customHeight="1" spans="1:14">
      <c r="A29" s="5" t="s">
        <v>1449</v>
      </c>
      <c r="B29" s="5" t="s">
        <v>387</v>
      </c>
      <c r="C29" s="6" t="s">
        <v>1450</v>
      </c>
      <c r="D29" s="6" t="s">
        <v>1451</v>
      </c>
      <c r="E29" s="7" t="s">
        <v>1452</v>
      </c>
      <c r="F29" s="5" t="s">
        <v>456</v>
      </c>
      <c r="G29" s="5" t="s">
        <v>436</v>
      </c>
      <c r="H29" s="5" t="s">
        <v>352</v>
      </c>
      <c r="I29" s="5" t="s">
        <v>478</v>
      </c>
      <c r="J29" s="9" t="s">
        <v>363</v>
      </c>
      <c r="K29" s="5" t="s">
        <v>355</v>
      </c>
      <c r="L29" s="5" t="s">
        <v>355</v>
      </c>
      <c r="M29" s="5" t="s">
        <v>356</v>
      </c>
      <c r="N29" s="5"/>
    </row>
    <row r="30" ht="30" customHeight="1" spans="1:14">
      <c r="A30" s="5"/>
      <c r="B30" s="5" t="s">
        <v>396</v>
      </c>
      <c r="C30" s="6" t="s">
        <v>1453</v>
      </c>
      <c r="D30" s="6" t="s">
        <v>1454</v>
      </c>
      <c r="E30" s="85"/>
      <c r="F30" s="5"/>
      <c r="G30" s="5" t="s">
        <v>436</v>
      </c>
      <c r="H30" s="5" t="s">
        <v>352</v>
      </c>
      <c r="I30" s="5" t="s">
        <v>478</v>
      </c>
      <c r="J30" s="19" t="s">
        <v>1408</v>
      </c>
      <c r="K30" s="5" t="s">
        <v>355</v>
      </c>
      <c r="L30" s="5" t="s">
        <v>355</v>
      </c>
      <c r="M30" s="5" t="s">
        <v>356</v>
      </c>
      <c r="N30" s="5"/>
    </row>
    <row r="31" ht="30" customHeight="1" spans="1:14">
      <c r="A31" s="5"/>
      <c r="B31" s="5" t="s">
        <v>396</v>
      </c>
      <c r="C31" s="6" t="s">
        <v>1455</v>
      </c>
      <c r="D31" s="6" t="s">
        <v>1456</v>
      </c>
      <c r="E31" s="85"/>
      <c r="F31" s="5"/>
      <c r="G31" s="5"/>
      <c r="H31" s="5"/>
      <c r="I31" s="5"/>
      <c r="J31" s="59"/>
      <c r="K31" s="5"/>
      <c r="L31" s="5"/>
      <c r="M31" s="5"/>
      <c r="N31" s="5"/>
    </row>
    <row r="32" ht="30" customHeight="1" spans="1:14">
      <c r="A32" s="5"/>
      <c r="B32" s="5" t="s">
        <v>396</v>
      </c>
      <c r="C32" s="6" t="s">
        <v>1457</v>
      </c>
      <c r="D32" s="6" t="s">
        <v>1458</v>
      </c>
      <c r="E32" s="85"/>
      <c r="F32" s="5"/>
      <c r="G32" s="5"/>
      <c r="H32" s="5"/>
      <c r="I32" s="5"/>
      <c r="J32" s="19" t="s">
        <v>363</v>
      </c>
      <c r="K32" s="5"/>
      <c r="L32" s="5"/>
      <c r="M32" s="5"/>
      <c r="N32" s="5"/>
    </row>
    <row r="33" ht="30" customHeight="1" spans="1:14">
      <c r="A33" s="5"/>
      <c r="B33" s="5" t="s">
        <v>396</v>
      </c>
      <c r="C33" s="6" t="s">
        <v>1459</v>
      </c>
      <c r="D33" s="6" t="s">
        <v>1460</v>
      </c>
      <c r="E33" s="85"/>
      <c r="F33" s="5"/>
      <c r="G33" s="5"/>
      <c r="H33" s="5"/>
      <c r="I33" s="5"/>
      <c r="J33" s="58"/>
      <c r="K33" s="5"/>
      <c r="L33" s="5"/>
      <c r="M33" s="5"/>
      <c r="N33" s="5"/>
    </row>
    <row r="34" ht="30" customHeight="1" spans="1:14">
      <c r="A34" s="5"/>
      <c r="B34" s="5" t="s">
        <v>396</v>
      </c>
      <c r="C34" s="6" t="s">
        <v>1461</v>
      </c>
      <c r="D34" s="6" t="s">
        <v>1462</v>
      </c>
      <c r="E34" s="85"/>
      <c r="F34" s="5"/>
      <c r="G34" s="5"/>
      <c r="H34" s="5"/>
      <c r="I34" s="5"/>
      <c r="J34" s="58"/>
      <c r="K34" s="5"/>
      <c r="L34" s="5"/>
      <c r="M34" s="5"/>
      <c r="N34" s="5"/>
    </row>
    <row r="35" ht="30" customHeight="1" spans="1:14">
      <c r="A35" s="5"/>
      <c r="B35" s="5" t="s">
        <v>396</v>
      </c>
      <c r="C35" s="6" t="s">
        <v>1463</v>
      </c>
      <c r="D35" s="6" t="s">
        <v>1464</v>
      </c>
      <c r="E35" s="85"/>
      <c r="F35" s="5"/>
      <c r="G35" s="5" t="s">
        <v>436</v>
      </c>
      <c r="H35" s="5" t="s">
        <v>352</v>
      </c>
      <c r="I35" s="5" t="s">
        <v>478</v>
      </c>
      <c r="J35" s="59"/>
      <c r="K35" s="5" t="s">
        <v>355</v>
      </c>
      <c r="L35" s="5" t="s">
        <v>355</v>
      </c>
      <c r="M35" s="5" t="s">
        <v>356</v>
      </c>
      <c r="N35" s="5"/>
    </row>
    <row r="36" ht="39" spans="1:14">
      <c r="A36" s="5" t="s">
        <v>1465</v>
      </c>
      <c r="B36" s="5" t="s">
        <v>387</v>
      </c>
      <c r="C36" s="6" t="s">
        <v>1466</v>
      </c>
      <c r="D36" s="6" t="s">
        <v>1467</v>
      </c>
      <c r="E36" s="6" t="s">
        <v>1468</v>
      </c>
      <c r="F36" s="5" t="s">
        <v>456</v>
      </c>
      <c r="G36" s="20" t="s">
        <v>436</v>
      </c>
      <c r="H36" s="5" t="s">
        <v>370</v>
      </c>
      <c r="I36" s="5" t="s">
        <v>371</v>
      </c>
      <c r="J36" s="13" t="s">
        <v>363</v>
      </c>
      <c r="K36" s="5" t="s">
        <v>355</v>
      </c>
      <c r="L36" s="5" t="s">
        <v>355</v>
      </c>
      <c r="M36" s="5" t="s">
        <v>356</v>
      </c>
      <c r="N36" s="13" t="s">
        <v>1469</v>
      </c>
    </row>
    <row r="37" ht="63.75" customHeight="1" spans="1:14">
      <c r="A37" s="5" t="s">
        <v>1470</v>
      </c>
      <c r="B37" s="5" t="s">
        <v>387</v>
      </c>
      <c r="C37" s="6" t="s">
        <v>1471</v>
      </c>
      <c r="D37" s="6" t="s">
        <v>1472</v>
      </c>
      <c r="E37" s="6" t="s">
        <v>1473</v>
      </c>
      <c r="F37" s="5" t="s">
        <v>456</v>
      </c>
      <c r="G37" s="20" t="s">
        <v>436</v>
      </c>
      <c r="H37" s="5" t="s">
        <v>370</v>
      </c>
      <c r="I37" s="5" t="s">
        <v>371</v>
      </c>
      <c r="J37" s="13" t="s">
        <v>363</v>
      </c>
      <c r="K37" s="5" t="s">
        <v>355</v>
      </c>
      <c r="L37" s="5" t="s">
        <v>355</v>
      </c>
      <c r="M37" s="5" t="s">
        <v>356</v>
      </c>
      <c r="N37" s="13" t="s">
        <v>1469</v>
      </c>
    </row>
    <row r="38" ht="156" spans="1:14">
      <c r="A38" s="5" t="s">
        <v>1474</v>
      </c>
      <c r="B38" s="5" t="s">
        <v>346</v>
      </c>
      <c r="C38" s="9" t="s">
        <v>1475</v>
      </c>
      <c r="D38" s="9" t="s">
        <v>1476</v>
      </c>
      <c r="E38" s="7" t="s">
        <v>1477</v>
      </c>
      <c r="F38" s="13" t="s">
        <v>456</v>
      </c>
      <c r="G38" s="20" t="s">
        <v>436</v>
      </c>
      <c r="H38" s="5" t="s">
        <v>535</v>
      </c>
      <c r="I38" s="20"/>
      <c r="J38" s="13" t="s">
        <v>363</v>
      </c>
      <c r="K38" s="5" t="s">
        <v>355</v>
      </c>
      <c r="L38" s="5" t="s">
        <v>355</v>
      </c>
      <c r="M38" s="5" t="s">
        <v>356</v>
      </c>
      <c r="N38" s="9"/>
    </row>
    <row r="39" ht="156" spans="1:14">
      <c r="A39" s="5" t="s">
        <v>1478</v>
      </c>
      <c r="B39" s="5" t="s">
        <v>346</v>
      </c>
      <c r="C39" s="9" t="s">
        <v>1479</v>
      </c>
      <c r="D39" s="9" t="s">
        <v>1480</v>
      </c>
      <c r="E39" s="7" t="s">
        <v>1477</v>
      </c>
      <c r="F39" s="13" t="s">
        <v>456</v>
      </c>
      <c r="G39" s="20" t="s">
        <v>436</v>
      </c>
      <c r="H39" s="5" t="s">
        <v>535</v>
      </c>
      <c r="I39" s="20"/>
      <c r="J39" s="13" t="s">
        <v>363</v>
      </c>
      <c r="K39" s="5" t="s">
        <v>355</v>
      </c>
      <c r="L39" s="5" t="s">
        <v>355</v>
      </c>
      <c r="M39" s="5" t="s">
        <v>356</v>
      </c>
      <c r="N39" s="9"/>
    </row>
    <row r="40" ht="26" spans="1:14">
      <c r="A40" s="5" t="s">
        <v>1481</v>
      </c>
      <c r="B40" s="5" t="s">
        <v>387</v>
      </c>
      <c r="C40" s="6" t="s">
        <v>1482</v>
      </c>
      <c r="D40" s="6" t="s">
        <v>1483</v>
      </c>
      <c r="E40" s="6" t="s">
        <v>1484</v>
      </c>
      <c r="F40" s="5" t="s">
        <v>456</v>
      </c>
      <c r="G40" s="5" t="s">
        <v>436</v>
      </c>
      <c r="H40" s="5" t="s">
        <v>462</v>
      </c>
      <c r="I40" s="5" t="s">
        <v>371</v>
      </c>
      <c r="J40" s="13" t="s">
        <v>363</v>
      </c>
      <c r="K40" s="5" t="s">
        <v>355</v>
      </c>
      <c r="L40" s="5" t="s">
        <v>355</v>
      </c>
      <c r="M40" s="5" t="s">
        <v>356</v>
      </c>
      <c r="N40" s="5"/>
    </row>
    <row r="41" ht="26" spans="1:14">
      <c r="A41" s="5" t="s">
        <v>1485</v>
      </c>
      <c r="B41" s="5" t="s">
        <v>387</v>
      </c>
      <c r="C41" s="6" t="s">
        <v>1486</v>
      </c>
      <c r="D41" s="6" t="s">
        <v>1487</v>
      </c>
      <c r="E41" s="6" t="s">
        <v>1488</v>
      </c>
      <c r="F41" s="5" t="s">
        <v>456</v>
      </c>
      <c r="G41" s="5" t="s">
        <v>436</v>
      </c>
      <c r="H41" s="5" t="s">
        <v>462</v>
      </c>
      <c r="I41" s="5" t="s">
        <v>371</v>
      </c>
      <c r="J41" s="13" t="s">
        <v>363</v>
      </c>
      <c r="K41" s="5" t="s">
        <v>355</v>
      </c>
      <c r="L41" s="5" t="s">
        <v>355</v>
      </c>
      <c r="M41" s="5" t="s">
        <v>356</v>
      </c>
      <c r="N41" s="5"/>
    </row>
    <row r="42" ht="26" spans="1:14">
      <c r="A42" s="5" t="s">
        <v>1489</v>
      </c>
      <c r="B42" s="5" t="s">
        <v>346</v>
      </c>
      <c r="C42" s="6" t="s">
        <v>1490</v>
      </c>
      <c r="D42" s="6" t="s">
        <v>1491</v>
      </c>
      <c r="E42" s="6" t="s">
        <v>1492</v>
      </c>
      <c r="F42" s="5" t="s">
        <v>456</v>
      </c>
      <c r="G42" s="5" t="s">
        <v>436</v>
      </c>
      <c r="H42" s="5" t="s">
        <v>462</v>
      </c>
      <c r="I42" s="5" t="s">
        <v>371</v>
      </c>
      <c r="J42" s="13" t="s">
        <v>363</v>
      </c>
      <c r="K42" s="5" t="s">
        <v>355</v>
      </c>
      <c r="L42" s="5" t="s">
        <v>355</v>
      </c>
      <c r="M42" s="5" t="s">
        <v>356</v>
      </c>
      <c r="N42" s="5"/>
    </row>
    <row r="43" ht="26" spans="1:14">
      <c r="A43" s="5" t="s">
        <v>1493</v>
      </c>
      <c r="B43" s="5" t="s">
        <v>346</v>
      </c>
      <c r="C43" s="6" t="s">
        <v>1494</v>
      </c>
      <c r="D43" s="6" t="s">
        <v>1495</v>
      </c>
      <c r="E43" s="6" t="s">
        <v>1496</v>
      </c>
      <c r="F43" s="5" t="s">
        <v>456</v>
      </c>
      <c r="G43" s="5" t="s">
        <v>436</v>
      </c>
      <c r="H43" s="5" t="s">
        <v>462</v>
      </c>
      <c r="I43" s="5" t="s">
        <v>371</v>
      </c>
      <c r="J43" s="13" t="s">
        <v>363</v>
      </c>
      <c r="K43" s="5" t="s">
        <v>355</v>
      </c>
      <c r="L43" s="5" t="s">
        <v>355</v>
      </c>
      <c r="M43" s="5" t="s">
        <v>356</v>
      </c>
      <c r="N43" s="5"/>
    </row>
    <row r="44" ht="26" spans="1:14">
      <c r="A44" s="5" t="s">
        <v>1497</v>
      </c>
      <c r="B44" s="5" t="s">
        <v>346</v>
      </c>
      <c r="C44" s="6" t="s">
        <v>1498</v>
      </c>
      <c r="D44" s="6" t="s">
        <v>1499</v>
      </c>
      <c r="E44" s="6" t="s">
        <v>1500</v>
      </c>
      <c r="F44" s="5" t="s">
        <v>456</v>
      </c>
      <c r="G44" s="5" t="s">
        <v>436</v>
      </c>
      <c r="H44" s="5" t="s">
        <v>462</v>
      </c>
      <c r="I44" s="5" t="s">
        <v>371</v>
      </c>
      <c r="J44" s="13" t="s">
        <v>363</v>
      </c>
      <c r="K44" s="5" t="s">
        <v>355</v>
      </c>
      <c r="L44" s="5" t="s">
        <v>355</v>
      </c>
      <c r="M44" s="5" t="s">
        <v>356</v>
      </c>
      <c r="N44" s="5"/>
    </row>
    <row r="45" ht="39" spans="1:14">
      <c r="A45" s="101" t="s">
        <v>1501</v>
      </c>
      <c r="B45" s="101" t="s">
        <v>346</v>
      </c>
      <c r="C45" s="102" t="s">
        <v>1502</v>
      </c>
      <c r="D45" s="102" t="s">
        <v>1503</v>
      </c>
      <c r="E45" s="102" t="s">
        <v>1504</v>
      </c>
      <c r="F45" s="101" t="s">
        <v>456</v>
      </c>
      <c r="G45" s="101" t="s">
        <v>369</v>
      </c>
      <c r="H45" s="101" t="s">
        <v>462</v>
      </c>
      <c r="I45" s="101" t="s">
        <v>371</v>
      </c>
      <c r="J45" s="103" t="s">
        <v>363</v>
      </c>
      <c r="K45" s="101" t="s">
        <v>355</v>
      </c>
      <c r="L45" s="101" t="s">
        <v>355</v>
      </c>
      <c r="M45" s="101" t="s">
        <v>356</v>
      </c>
      <c r="N45" s="101"/>
    </row>
    <row r="46" ht="39" spans="1:14">
      <c r="A46" s="101" t="s">
        <v>1505</v>
      </c>
      <c r="B46" s="101" t="s">
        <v>346</v>
      </c>
      <c r="C46" s="102" t="s">
        <v>1506</v>
      </c>
      <c r="D46" s="102" t="s">
        <v>1507</v>
      </c>
      <c r="E46" s="102" t="s">
        <v>1508</v>
      </c>
      <c r="F46" s="101" t="s">
        <v>456</v>
      </c>
      <c r="G46" s="101" t="s">
        <v>369</v>
      </c>
      <c r="H46" s="101" t="s">
        <v>462</v>
      </c>
      <c r="I46" s="101" t="s">
        <v>371</v>
      </c>
      <c r="J46" s="103" t="s">
        <v>363</v>
      </c>
      <c r="K46" s="101" t="s">
        <v>355</v>
      </c>
      <c r="L46" s="101" t="s">
        <v>355</v>
      </c>
      <c r="M46" s="101" t="s">
        <v>356</v>
      </c>
      <c r="N46" s="101"/>
    </row>
    <row r="47" ht="39" spans="1:14">
      <c r="A47" s="101" t="s">
        <v>1509</v>
      </c>
      <c r="B47" s="101" t="s">
        <v>346</v>
      </c>
      <c r="C47" s="14" t="s">
        <v>1510</v>
      </c>
      <c r="D47" s="6" t="s">
        <v>1511</v>
      </c>
      <c r="E47" s="7" t="s">
        <v>1512</v>
      </c>
      <c r="F47" s="5" t="s">
        <v>456</v>
      </c>
      <c r="G47" s="5" t="s">
        <v>436</v>
      </c>
      <c r="H47" s="5" t="s">
        <v>462</v>
      </c>
      <c r="I47" s="5" t="s">
        <v>371</v>
      </c>
      <c r="J47" s="13" t="s">
        <v>410</v>
      </c>
      <c r="K47" s="5" t="s">
        <v>355</v>
      </c>
      <c r="L47" s="5" t="s">
        <v>355</v>
      </c>
      <c r="M47" s="5" t="s">
        <v>356</v>
      </c>
      <c r="N47" s="13"/>
    </row>
    <row r="48" ht="26" spans="1:14">
      <c r="A48" s="101" t="s">
        <v>1513</v>
      </c>
      <c r="B48" s="101" t="s">
        <v>346</v>
      </c>
      <c r="C48" s="14" t="s">
        <v>1514</v>
      </c>
      <c r="D48" s="9" t="s">
        <v>1515</v>
      </c>
      <c r="E48" s="9" t="s">
        <v>1516</v>
      </c>
      <c r="F48" s="5" t="s">
        <v>456</v>
      </c>
      <c r="G48" s="5" t="s">
        <v>436</v>
      </c>
      <c r="H48" s="5" t="s">
        <v>462</v>
      </c>
      <c r="I48" s="5" t="s">
        <v>371</v>
      </c>
      <c r="J48" s="13" t="s">
        <v>410</v>
      </c>
      <c r="K48" s="5" t="s">
        <v>355</v>
      </c>
      <c r="L48" s="5" t="s">
        <v>355</v>
      </c>
      <c r="M48" s="5" t="s">
        <v>356</v>
      </c>
      <c r="N48" s="9"/>
    </row>
    <row r="49" ht="39" spans="1:14">
      <c r="A49" s="101" t="s">
        <v>1517</v>
      </c>
      <c r="B49" s="101" t="s">
        <v>346</v>
      </c>
      <c r="C49" s="14" t="s">
        <v>1518</v>
      </c>
      <c r="D49" s="9" t="s">
        <v>1519</v>
      </c>
      <c r="E49" s="9" t="s">
        <v>1520</v>
      </c>
      <c r="F49" s="5" t="s">
        <v>456</v>
      </c>
      <c r="G49" s="5" t="s">
        <v>436</v>
      </c>
      <c r="H49" s="5" t="s">
        <v>462</v>
      </c>
      <c r="I49" s="5" t="s">
        <v>371</v>
      </c>
      <c r="J49" s="13" t="s">
        <v>410</v>
      </c>
      <c r="K49" s="5" t="s">
        <v>355</v>
      </c>
      <c r="L49" s="5" t="s">
        <v>355</v>
      </c>
      <c r="M49" s="5" t="s">
        <v>356</v>
      </c>
      <c r="N49" s="9"/>
    </row>
    <row r="50" ht="26" spans="1:14">
      <c r="A50" s="101" t="s">
        <v>1521</v>
      </c>
      <c r="B50" s="101" t="s">
        <v>346</v>
      </c>
      <c r="C50" s="14" t="s">
        <v>1522</v>
      </c>
      <c r="D50" s="9" t="s">
        <v>1523</v>
      </c>
      <c r="E50" s="9" t="s">
        <v>1524</v>
      </c>
      <c r="F50" s="5" t="s">
        <v>456</v>
      </c>
      <c r="G50" s="5" t="s">
        <v>436</v>
      </c>
      <c r="H50" s="5" t="s">
        <v>462</v>
      </c>
      <c r="I50" s="5" t="s">
        <v>371</v>
      </c>
      <c r="J50" s="13" t="s">
        <v>410</v>
      </c>
      <c r="K50" s="5" t="s">
        <v>355</v>
      </c>
      <c r="L50" s="5" t="s">
        <v>355</v>
      </c>
      <c r="M50" s="5" t="s">
        <v>356</v>
      </c>
      <c r="N50" s="9"/>
    </row>
    <row r="51" customFormat="1" ht="26" spans="1:14">
      <c r="A51" s="101" t="s">
        <v>1525</v>
      </c>
      <c r="B51" s="101" t="s">
        <v>346</v>
      </c>
      <c r="C51" s="14" t="s">
        <v>1526</v>
      </c>
      <c r="D51" s="9" t="s">
        <v>1527</v>
      </c>
      <c r="E51" s="9" t="s">
        <v>1528</v>
      </c>
      <c r="F51" s="5" t="s">
        <v>456</v>
      </c>
      <c r="G51" s="5" t="s">
        <v>436</v>
      </c>
      <c r="H51" s="5" t="s">
        <v>370</v>
      </c>
      <c r="I51" s="5" t="s">
        <v>1529</v>
      </c>
      <c r="J51" s="13" t="s">
        <v>410</v>
      </c>
      <c r="K51" s="5" t="s">
        <v>355</v>
      </c>
      <c r="L51" s="5" t="s">
        <v>355</v>
      </c>
      <c r="M51" s="5" t="s">
        <v>356</v>
      </c>
      <c r="N51" s="9"/>
    </row>
    <row r="52" customFormat="1" ht="65" spans="1:14">
      <c r="A52" s="101" t="s">
        <v>1530</v>
      </c>
      <c r="B52" s="101" t="s">
        <v>346</v>
      </c>
      <c r="C52" s="14" t="s">
        <v>1531</v>
      </c>
      <c r="D52" s="9" t="s">
        <v>1532</v>
      </c>
      <c r="E52" s="9" t="s">
        <v>1533</v>
      </c>
      <c r="F52" s="5" t="s">
        <v>456</v>
      </c>
      <c r="G52" s="5" t="s">
        <v>436</v>
      </c>
      <c r="H52" s="5" t="s">
        <v>370</v>
      </c>
      <c r="I52" s="5" t="s">
        <v>1529</v>
      </c>
      <c r="J52" s="13" t="s">
        <v>410</v>
      </c>
      <c r="K52" s="5" t="s">
        <v>355</v>
      </c>
      <c r="L52" s="5" t="s">
        <v>355</v>
      </c>
      <c r="M52" s="5" t="s">
        <v>356</v>
      </c>
      <c r="N52" s="9" t="s">
        <v>1534</v>
      </c>
    </row>
    <row r="53" customFormat="1" ht="26" spans="1:14">
      <c r="A53" s="101" t="s">
        <v>1535</v>
      </c>
      <c r="B53" s="101" t="s">
        <v>346</v>
      </c>
      <c r="C53" s="14" t="s">
        <v>1536</v>
      </c>
      <c r="D53" s="9" t="s">
        <v>1537</v>
      </c>
      <c r="E53" s="9" t="s">
        <v>1538</v>
      </c>
      <c r="F53" s="5" t="s">
        <v>456</v>
      </c>
      <c r="G53" s="5" t="s">
        <v>436</v>
      </c>
      <c r="H53" s="5" t="s">
        <v>462</v>
      </c>
      <c r="I53" s="5" t="s">
        <v>371</v>
      </c>
      <c r="J53" s="13" t="s">
        <v>410</v>
      </c>
      <c r="K53" s="5" t="s">
        <v>355</v>
      </c>
      <c r="L53" s="5" t="s">
        <v>355</v>
      </c>
      <c r="M53" s="5" t="s">
        <v>356</v>
      </c>
      <c r="N53" s="9" t="s">
        <v>1539</v>
      </c>
    </row>
    <row r="54" customFormat="1" ht="26" spans="1:14">
      <c r="A54" s="101" t="s">
        <v>1540</v>
      </c>
      <c r="B54" s="101" t="s">
        <v>346</v>
      </c>
      <c r="C54" s="14" t="s">
        <v>1541</v>
      </c>
      <c r="D54" s="9" t="s">
        <v>1542</v>
      </c>
      <c r="E54" s="9" t="s">
        <v>1543</v>
      </c>
      <c r="F54" s="5" t="s">
        <v>456</v>
      </c>
      <c r="G54" s="5" t="s">
        <v>436</v>
      </c>
      <c r="H54" s="5" t="s">
        <v>462</v>
      </c>
      <c r="I54" s="5" t="s">
        <v>371</v>
      </c>
      <c r="J54" s="13" t="s">
        <v>410</v>
      </c>
      <c r="K54" s="5" t="s">
        <v>355</v>
      </c>
      <c r="L54" s="5" t="s">
        <v>355</v>
      </c>
      <c r="M54" s="5" t="s">
        <v>356</v>
      </c>
      <c r="N54" s="9" t="s">
        <v>1539</v>
      </c>
    </row>
    <row r="55" customFormat="1" ht="52" spans="1:14">
      <c r="A55" s="101" t="s">
        <v>1544</v>
      </c>
      <c r="B55" s="101" t="s">
        <v>346</v>
      </c>
      <c r="C55" s="14" t="s">
        <v>1545</v>
      </c>
      <c r="D55" s="9" t="s">
        <v>1546</v>
      </c>
      <c r="E55" s="9" t="s">
        <v>1547</v>
      </c>
      <c r="F55" s="5" t="s">
        <v>456</v>
      </c>
      <c r="G55" s="5" t="s">
        <v>436</v>
      </c>
      <c r="H55" s="5" t="s">
        <v>462</v>
      </c>
      <c r="I55" s="5" t="s">
        <v>371</v>
      </c>
      <c r="J55" s="13" t="s">
        <v>410</v>
      </c>
      <c r="K55" s="5" t="s">
        <v>355</v>
      </c>
      <c r="L55" s="5" t="s">
        <v>355</v>
      </c>
      <c r="M55" s="5" t="s">
        <v>356</v>
      </c>
      <c r="N55" s="9"/>
    </row>
    <row r="56" customFormat="1" ht="78" spans="1:14">
      <c r="A56" s="101" t="s">
        <v>1548</v>
      </c>
      <c r="B56" s="101" t="s">
        <v>346</v>
      </c>
      <c r="C56" s="14" t="s">
        <v>1549</v>
      </c>
      <c r="D56" s="9" t="s">
        <v>1550</v>
      </c>
      <c r="E56" s="9" t="s">
        <v>1551</v>
      </c>
      <c r="F56" s="5" t="s">
        <v>456</v>
      </c>
      <c r="G56" s="5" t="s">
        <v>436</v>
      </c>
      <c r="H56" s="5" t="s">
        <v>462</v>
      </c>
      <c r="I56" s="5" t="s">
        <v>371</v>
      </c>
      <c r="J56" s="13" t="s">
        <v>410</v>
      </c>
      <c r="K56" s="5" t="s">
        <v>355</v>
      </c>
      <c r="L56" s="5" t="s">
        <v>355</v>
      </c>
      <c r="M56" s="5" t="s">
        <v>356</v>
      </c>
      <c r="N56" s="9"/>
    </row>
  </sheetData>
  <mergeCells count="84">
    <mergeCell ref="A2:A5"/>
    <mergeCell ref="A10:A12"/>
    <mergeCell ref="A13:A15"/>
    <mergeCell ref="A17:A20"/>
    <mergeCell ref="A21:A24"/>
    <mergeCell ref="A25:A26"/>
    <mergeCell ref="A27:A28"/>
    <mergeCell ref="A29:A35"/>
    <mergeCell ref="E2:E5"/>
    <mergeCell ref="E10:E12"/>
    <mergeCell ref="E13:E15"/>
    <mergeCell ref="E17:E20"/>
    <mergeCell ref="E21:E24"/>
    <mergeCell ref="E25:E26"/>
    <mergeCell ref="E27:E28"/>
    <mergeCell ref="E29:E35"/>
    <mergeCell ref="F2:F5"/>
    <mergeCell ref="F10:F12"/>
    <mergeCell ref="F13:F15"/>
    <mergeCell ref="F17:F20"/>
    <mergeCell ref="F21:F24"/>
    <mergeCell ref="F25:F26"/>
    <mergeCell ref="F27:F28"/>
    <mergeCell ref="F29:F35"/>
    <mergeCell ref="G2:G5"/>
    <mergeCell ref="G10:G12"/>
    <mergeCell ref="G13:G15"/>
    <mergeCell ref="G17:G20"/>
    <mergeCell ref="G21:G24"/>
    <mergeCell ref="G25:G26"/>
    <mergeCell ref="G27:G28"/>
    <mergeCell ref="G29:G35"/>
    <mergeCell ref="H2:H5"/>
    <mergeCell ref="H10:H12"/>
    <mergeCell ref="H13:H15"/>
    <mergeCell ref="H17:H20"/>
    <mergeCell ref="H21:H24"/>
    <mergeCell ref="H25:H26"/>
    <mergeCell ref="H27:H28"/>
    <mergeCell ref="H29:H35"/>
    <mergeCell ref="I2:I5"/>
    <mergeCell ref="I10:I12"/>
    <mergeCell ref="I13:I15"/>
    <mergeCell ref="I17:I20"/>
    <mergeCell ref="I21:I24"/>
    <mergeCell ref="I25:I26"/>
    <mergeCell ref="I27:I28"/>
    <mergeCell ref="I29:I35"/>
    <mergeCell ref="J2:J5"/>
    <mergeCell ref="J10:J12"/>
    <mergeCell ref="J17:J20"/>
    <mergeCell ref="J21:J24"/>
    <mergeCell ref="J25:J26"/>
    <mergeCell ref="J27:J28"/>
    <mergeCell ref="J30:J31"/>
    <mergeCell ref="J32:J35"/>
    <mergeCell ref="K2:K5"/>
    <mergeCell ref="K10:K12"/>
    <mergeCell ref="K13:K15"/>
    <mergeCell ref="K17:K20"/>
    <mergeCell ref="K21:K24"/>
    <mergeCell ref="K25:K26"/>
    <mergeCell ref="K27:K28"/>
    <mergeCell ref="K29:K35"/>
    <mergeCell ref="L2:L5"/>
    <mergeCell ref="L10:L12"/>
    <mergeCell ref="L13:L15"/>
    <mergeCell ref="L17:L20"/>
    <mergeCell ref="L21:L24"/>
    <mergeCell ref="L25:L26"/>
    <mergeCell ref="L27:L28"/>
    <mergeCell ref="L29:L35"/>
    <mergeCell ref="M2:M5"/>
    <mergeCell ref="M10:M12"/>
    <mergeCell ref="M13:M15"/>
    <mergeCell ref="M17:M20"/>
    <mergeCell ref="M21:M24"/>
    <mergeCell ref="M25:M26"/>
    <mergeCell ref="M27:M28"/>
    <mergeCell ref="M29:M35"/>
    <mergeCell ref="N2:N5"/>
    <mergeCell ref="N10:N12"/>
    <mergeCell ref="N13:N15"/>
    <mergeCell ref="N29:N35"/>
  </mergeCells>
  <pageMargins left="0.75" right="0.75" top="1" bottom="1" header="0.5" footer="0.5"/>
  <pageSetup paperSize="9" orientation="portrait"/>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8"/>
  <sheetViews>
    <sheetView workbookViewId="0">
      <selection activeCell="B5" sqref="B5:N9"/>
    </sheetView>
  </sheetViews>
  <sheetFormatPr defaultColWidth="9" defaultRowHeight="13" outlineLevelRow="7"/>
  <cols>
    <col min="1" max="1" width="9" style="1"/>
    <col min="2" max="2" width="7.64" style="1" customWidth="1"/>
    <col min="3" max="3" width="30.43" style="1" customWidth="1"/>
    <col min="4" max="4" width="23.64" style="1" customWidth="1"/>
    <col min="5" max="5" width="30.57" style="1" customWidth="1"/>
    <col min="6" max="6" width="40.57" style="1" customWidth="1"/>
    <col min="7" max="8" width="9.64" style="1" customWidth="1"/>
    <col min="9" max="9" width="9" style="1"/>
    <col min="10" max="10" width="16.43" style="1" customWidth="1"/>
    <col min="11" max="12" width="9" style="1"/>
    <col min="13" max="14" width="9.64" style="1" customWidth="1"/>
    <col min="15" max="16384" width="9" style="1"/>
  </cols>
  <sheetData>
    <row r="1" spans="1:14">
      <c r="A1" s="4" t="s">
        <v>332</v>
      </c>
      <c r="B1" s="4" t="s">
        <v>333</v>
      </c>
      <c r="C1" s="4" t="s">
        <v>334</v>
      </c>
      <c r="D1" s="4" t="s">
        <v>335</v>
      </c>
      <c r="E1" s="4" t="s">
        <v>336</v>
      </c>
      <c r="F1" s="4" t="s">
        <v>337</v>
      </c>
      <c r="G1" s="4" t="s">
        <v>338</v>
      </c>
      <c r="H1" s="4" t="s">
        <v>339</v>
      </c>
      <c r="I1" s="4" t="s">
        <v>340</v>
      </c>
      <c r="J1" s="4" t="s">
        <v>341</v>
      </c>
      <c r="K1" s="4" t="s">
        <v>342</v>
      </c>
      <c r="L1" s="4" t="s">
        <v>343</v>
      </c>
      <c r="M1" s="4" t="s">
        <v>344</v>
      </c>
      <c r="N1" s="4" t="s">
        <v>235</v>
      </c>
    </row>
    <row r="2" ht="26" spans="1:14">
      <c r="A2" s="5" t="s">
        <v>1552</v>
      </c>
      <c r="B2" s="5" t="s">
        <v>346</v>
      </c>
      <c r="C2" s="6" t="s">
        <v>1553</v>
      </c>
      <c r="D2" s="6" t="s">
        <v>1554</v>
      </c>
      <c r="E2" s="6" t="s">
        <v>1555</v>
      </c>
      <c r="F2" s="6" t="s">
        <v>1556</v>
      </c>
      <c r="G2" s="5" t="s">
        <v>392</v>
      </c>
      <c r="H2" s="5" t="s">
        <v>352</v>
      </c>
      <c r="I2" s="5" t="s">
        <v>393</v>
      </c>
      <c r="J2" s="5" t="s">
        <v>1557</v>
      </c>
      <c r="K2" s="5" t="s">
        <v>355</v>
      </c>
      <c r="L2" s="5" t="s">
        <v>355</v>
      </c>
      <c r="M2" s="5" t="s">
        <v>567</v>
      </c>
      <c r="N2" s="20"/>
    </row>
    <row r="3" ht="26" spans="1:14">
      <c r="A3" s="5" t="s">
        <v>1558</v>
      </c>
      <c r="B3" s="5" t="s">
        <v>346</v>
      </c>
      <c r="C3" s="6" t="s">
        <v>1559</v>
      </c>
      <c r="D3" s="6" t="s">
        <v>1560</v>
      </c>
      <c r="E3" s="6" t="s">
        <v>1561</v>
      </c>
      <c r="F3" s="6" t="s">
        <v>1562</v>
      </c>
      <c r="G3" s="5" t="s">
        <v>392</v>
      </c>
      <c r="H3" s="5" t="s">
        <v>352</v>
      </c>
      <c r="I3" s="5" t="s">
        <v>393</v>
      </c>
      <c r="J3" s="5" t="s">
        <v>1557</v>
      </c>
      <c r="K3" s="5" t="s">
        <v>355</v>
      </c>
      <c r="L3" s="5" t="s">
        <v>355</v>
      </c>
      <c r="M3" s="5" t="s">
        <v>356</v>
      </c>
      <c r="N3" s="20"/>
    </row>
    <row r="4" ht="26" spans="1:14">
      <c r="A4" s="5" t="s">
        <v>1563</v>
      </c>
      <c r="B4" s="5" t="s">
        <v>346</v>
      </c>
      <c r="C4" s="6" t="s">
        <v>1564</v>
      </c>
      <c r="D4" s="6" t="s">
        <v>1565</v>
      </c>
      <c r="E4" s="6" t="s">
        <v>1566</v>
      </c>
      <c r="F4" s="6" t="s">
        <v>1556</v>
      </c>
      <c r="G4" s="5" t="s">
        <v>392</v>
      </c>
      <c r="H4" s="5" t="s">
        <v>352</v>
      </c>
      <c r="I4" s="5" t="s">
        <v>393</v>
      </c>
      <c r="J4" s="5" t="s">
        <v>1557</v>
      </c>
      <c r="K4" s="5" t="s">
        <v>355</v>
      </c>
      <c r="L4" s="5" t="s">
        <v>355</v>
      </c>
      <c r="M4" s="5" t="s">
        <v>567</v>
      </c>
      <c r="N4" s="20"/>
    </row>
    <row r="5" ht="26" spans="1:14">
      <c r="A5" s="5" t="s">
        <v>1567</v>
      </c>
      <c r="B5" s="5" t="s">
        <v>373</v>
      </c>
      <c r="C5" s="6" t="s">
        <v>1568</v>
      </c>
      <c r="D5" s="6" t="s">
        <v>1569</v>
      </c>
      <c r="E5" s="6" t="s">
        <v>1570</v>
      </c>
      <c r="F5" s="6" t="s">
        <v>1571</v>
      </c>
      <c r="G5" s="5" t="s">
        <v>1572</v>
      </c>
      <c r="H5" s="5" t="s">
        <v>352</v>
      </c>
      <c r="I5" s="5" t="s">
        <v>1573</v>
      </c>
      <c r="J5" s="5" t="s">
        <v>1557</v>
      </c>
      <c r="K5" s="5" t="s">
        <v>355</v>
      </c>
      <c r="L5" s="5" t="s">
        <v>355</v>
      </c>
      <c r="M5" s="5" t="s">
        <v>356</v>
      </c>
      <c r="N5" s="80" t="s">
        <v>1574</v>
      </c>
    </row>
    <row r="6" ht="26" spans="1:14">
      <c r="A6" s="5" t="s">
        <v>1575</v>
      </c>
      <c r="B6" s="5" t="s">
        <v>373</v>
      </c>
      <c r="C6" s="6" t="s">
        <v>1576</v>
      </c>
      <c r="D6" s="6" t="s">
        <v>1577</v>
      </c>
      <c r="E6" s="6" t="s">
        <v>1578</v>
      </c>
      <c r="F6" s="6" t="s">
        <v>1579</v>
      </c>
      <c r="G6" s="5" t="s">
        <v>392</v>
      </c>
      <c r="H6" s="5" t="s">
        <v>352</v>
      </c>
      <c r="I6" s="5" t="s">
        <v>393</v>
      </c>
      <c r="J6" s="5" t="s">
        <v>1557</v>
      </c>
      <c r="K6" s="5" t="s">
        <v>355</v>
      </c>
      <c r="L6" s="5" t="s">
        <v>355</v>
      </c>
      <c r="M6" s="5" t="s">
        <v>356</v>
      </c>
      <c r="N6" s="99"/>
    </row>
    <row r="7" ht="26" spans="1:14">
      <c r="A7" s="5" t="s">
        <v>1580</v>
      </c>
      <c r="B7" s="5" t="s">
        <v>373</v>
      </c>
      <c r="C7" s="6" t="s">
        <v>1581</v>
      </c>
      <c r="D7" s="6" t="s">
        <v>1582</v>
      </c>
      <c r="E7" s="6" t="s">
        <v>1583</v>
      </c>
      <c r="F7" s="6" t="s">
        <v>1584</v>
      </c>
      <c r="G7" s="5" t="s">
        <v>1572</v>
      </c>
      <c r="H7" s="5" t="s">
        <v>352</v>
      </c>
      <c r="I7" s="5" t="s">
        <v>1573</v>
      </c>
      <c r="J7" s="5" t="s">
        <v>1557</v>
      </c>
      <c r="K7" s="5" t="s">
        <v>355</v>
      </c>
      <c r="L7" s="5" t="s">
        <v>355</v>
      </c>
      <c r="M7" s="5" t="s">
        <v>356</v>
      </c>
      <c r="N7" s="99"/>
    </row>
    <row r="8" ht="26" spans="1:14">
      <c r="A8" s="5" t="s">
        <v>1585</v>
      </c>
      <c r="B8" s="5" t="s">
        <v>373</v>
      </c>
      <c r="C8" s="6" t="s">
        <v>1586</v>
      </c>
      <c r="D8" s="6" t="s">
        <v>1587</v>
      </c>
      <c r="E8" s="6" t="s">
        <v>1588</v>
      </c>
      <c r="F8" s="6" t="s">
        <v>1589</v>
      </c>
      <c r="G8" s="5" t="s">
        <v>392</v>
      </c>
      <c r="H8" s="5" t="s">
        <v>352</v>
      </c>
      <c r="I8" s="5" t="s">
        <v>393</v>
      </c>
      <c r="J8" s="5" t="s">
        <v>1557</v>
      </c>
      <c r="K8" s="5" t="s">
        <v>355</v>
      </c>
      <c r="L8" s="5" t="s">
        <v>355</v>
      </c>
      <c r="M8" s="5" t="s">
        <v>356</v>
      </c>
      <c r="N8" s="100"/>
    </row>
  </sheetData>
  <mergeCells count="1">
    <mergeCell ref="N5:N8"/>
  </mergeCells>
  <pageMargins left="0.75" right="0.75" top="1" bottom="1" header="0.5" footer="0.5"/>
  <pageSetup paperSize="9" orientation="portrait"/>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N3"/>
  <sheetViews>
    <sheetView topLeftCell="E1" workbookViewId="0">
      <selection activeCell="O3" sqref="O3"/>
    </sheetView>
  </sheetViews>
  <sheetFormatPr defaultColWidth="9" defaultRowHeight="13" outlineLevelRow="2"/>
  <cols>
    <col min="1" max="1" width="9" style="1"/>
    <col min="2" max="2" width="7.64" style="1" customWidth="1"/>
    <col min="3" max="3" width="21.57" style="1" customWidth="1"/>
    <col min="4" max="4" width="23.43" style="1" customWidth="1"/>
    <col min="5" max="5" width="30.57" style="1" customWidth="1"/>
    <col min="6" max="6" width="7.64" style="1" customWidth="1"/>
    <col min="7" max="7" width="9" style="1"/>
    <col min="8" max="8" width="9.64" style="1" customWidth="1"/>
    <col min="9" max="9" width="9" style="1"/>
    <col min="10" max="10" width="16.43" style="1" customWidth="1"/>
    <col min="11" max="12" width="9" style="1"/>
    <col min="13" max="13" width="9.64" style="1" customWidth="1"/>
    <col min="14" max="14" width="41" style="1" customWidth="1"/>
    <col min="15" max="16384" width="9" style="1"/>
  </cols>
  <sheetData>
    <row r="1" spans="1:14">
      <c r="A1" s="4" t="s">
        <v>332</v>
      </c>
      <c r="B1" s="4" t="s">
        <v>333</v>
      </c>
      <c r="C1" s="4" t="s">
        <v>334</v>
      </c>
      <c r="D1" s="4" t="s">
        <v>335</v>
      </c>
      <c r="E1" s="4" t="s">
        <v>336</v>
      </c>
      <c r="F1" s="4" t="s">
        <v>337</v>
      </c>
      <c r="G1" s="4" t="s">
        <v>338</v>
      </c>
      <c r="H1" s="4" t="s">
        <v>339</v>
      </c>
      <c r="I1" s="4" t="s">
        <v>340</v>
      </c>
      <c r="J1" s="4" t="s">
        <v>341</v>
      </c>
      <c r="K1" s="4" t="s">
        <v>342</v>
      </c>
      <c r="L1" s="4" t="s">
        <v>343</v>
      </c>
      <c r="M1" s="4" t="s">
        <v>344</v>
      </c>
      <c r="N1" s="4" t="s">
        <v>235</v>
      </c>
    </row>
    <row r="2" ht="26" spans="1:14">
      <c r="A2" s="5" t="s">
        <v>1590</v>
      </c>
      <c r="B2" s="5" t="s">
        <v>346</v>
      </c>
      <c r="C2" s="6" t="s">
        <v>1591</v>
      </c>
      <c r="D2" s="6" t="s">
        <v>1592</v>
      </c>
      <c r="E2" s="6" t="s">
        <v>1593</v>
      </c>
      <c r="F2" s="5" t="s">
        <v>1594</v>
      </c>
      <c r="G2" s="5" t="s">
        <v>392</v>
      </c>
      <c r="H2" s="5" t="s">
        <v>1595</v>
      </c>
      <c r="I2" s="5" t="s">
        <v>1596</v>
      </c>
      <c r="J2" s="5" t="s">
        <v>1597</v>
      </c>
      <c r="K2" s="5" t="s">
        <v>355</v>
      </c>
      <c r="L2" s="5" t="s">
        <v>355</v>
      </c>
      <c r="M2" s="5" t="s">
        <v>356</v>
      </c>
      <c r="N2" s="20" t="s">
        <v>1598</v>
      </c>
    </row>
    <row r="3" ht="26" spans="1:14">
      <c r="A3" s="5" t="s">
        <v>1599</v>
      </c>
      <c r="B3" s="5" t="s">
        <v>346</v>
      </c>
      <c r="C3" s="6" t="s">
        <v>1600</v>
      </c>
      <c r="D3" s="6" t="s">
        <v>1601</v>
      </c>
      <c r="E3" s="6" t="s">
        <v>1602</v>
      </c>
      <c r="F3" s="5" t="s">
        <v>1594</v>
      </c>
      <c r="G3" s="5" t="s">
        <v>392</v>
      </c>
      <c r="H3" s="5" t="s">
        <v>1595</v>
      </c>
      <c r="I3" s="5" t="s">
        <v>1596</v>
      </c>
      <c r="J3" s="5" t="s">
        <v>1597</v>
      </c>
      <c r="K3" s="5" t="s">
        <v>355</v>
      </c>
      <c r="L3" s="5" t="s">
        <v>355</v>
      </c>
      <c r="M3" s="5" t="s">
        <v>356</v>
      </c>
      <c r="N3" s="20" t="s">
        <v>1598</v>
      </c>
    </row>
  </sheetData>
  <pageMargins left="0.75" right="0.75" top="1" bottom="1" header="0.5" footer="0.5"/>
  <pageSetup paperSize="9" orientation="portrait"/>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7"/>
  <sheetViews>
    <sheetView workbookViewId="0">
      <selection activeCell="B4" sqref="B4:N7"/>
    </sheetView>
  </sheetViews>
  <sheetFormatPr defaultColWidth="9" defaultRowHeight="13" outlineLevelRow="6"/>
  <cols>
    <col min="3" max="3" width="19.43" customWidth="1"/>
    <col min="4" max="4" width="35.57" customWidth="1"/>
    <col min="5" max="5" width="30.57" customWidth="1"/>
    <col min="6" max="6" width="43.14" customWidth="1"/>
    <col min="8" max="8" width="9.64" customWidth="1"/>
    <col min="10" max="10" width="15" customWidth="1"/>
    <col min="13" max="13" width="9.64" customWidth="1"/>
    <col min="14" max="14" width="41" customWidth="1"/>
  </cols>
  <sheetData>
    <row r="1" s="1" customFormat="1" spans="1:14">
      <c r="A1" s="4" t="s">
        <v>332</v>
      </c>
      <c r="B1" s="4" t="s">
        <v>333</v>
      </c>
      <c r="C1" s="4" t="s">
        <v>334</v>
      </c>
      <c r="D1" s="4" t="s">
        <v>335</v>
      </c>
      <c r="E1" s="4" t="s">
        <v>336</v>
      </c>
      <c r="F1" s="4" t="s">
        <v>337</v>
      </c>
      <c r="G1" s="4" t="s">
        <v>338</v>
      </c>
      <c r="H1" s="4" t="s">
        <v>339</v>
      </c>
      <c r="I1" s="4" t="s">
        <v>340</v>
      </c>
      <c r="J1" s="4" t="s">
        <v>341</v>
      </c>
      <c r="K1" s="4" t="s">
        <v>342</v>
      </c>
      <c r="L1" s="4" t="s">
        <v>343</v>
      </c>
      <c r="M1" s="4" t="s">
        <v>344</v>
      </c>
      <c r="N1" s="4" t="s">
        <v>235</v>
      </c>
    </row>
    <row r="2" s="1" customFormat="1" ht="26" spans="1:14">
      <c r="A2" s="5" t="s">
        <v>1603</v>
      </c>
      <c r="B2" s="5" t="s">
        <v>346</v>
      </c>
      <c r="C2" s="6" t="s">
        <v>1604</v>
      </c>
      <c r="D2" s="6" t="s">
        <v>1605</v>
      </c>
      <c r="E2" s="6" t="s">
        <v>1606</v>
      </c>
      <c r="F2" s="6" t="s">
        <v>1607</v>
      </c>
      <c r="G2" s="5" t="s">
        <v>392</v>
      </c>
      <c r="H2" s="5" t="s">
        <v>535</v>
      </c>
      <c r="I2" s="5" t="s">
        <v>1596</v>
      </c>
      <c r="J2" s="5" t="s">
        <v>1608</v>
      </c>
      <c r="K2" s="5" t="s">
        <v>355</v>
      </c>
      <c r="L2" s="5" t="s">
        <v>355</v>
      </c>
      <c r="M2" s="5" t="s">
        <v>356</v>
      </c>
      <c r="N2" s="20" t="s">
        <v>1598</v>
      </c>
    </row>
    <row r="3" s="1" customFormat="1" ht="26" spans="1:14">
      <c r="A3" s="5" t="s">
        <v>1609</v>
      </c>
      <c r="B3" s="5" t="s">
        <v>346</v>
      </c>
      <c r="C3" s="6" t="s">
        <v>1610</v>
      </c>
      <c r="D3" s="6" t="s">
        <v>1611</v>
      </c>
      <c r="E3" s="6" t="s">
        <v>1612</v>
      </c>
      <c r="F3" s="6" t="s">
        <v>1613</v>
      </c>
      <c r="G3" s="5" t="s">
        <v>392</v>
      </c>
      <c r="H3" s="5" t="s">
        <v>535</v>
      </c>
      <c r="I3" s="5" t="s">
        <v>1614</v>
      </c>
      <c r="J3" s="5" t="s">
        <v>1608</v>
      </c>
      <c r="K3" s="5" t="s">
        <v>355</v>
      </c>
      <c r="L3" s="5" t="s">
        <v>355</v>
      </c>
      <c r="M3" s="5" t="s">
        <v>356</v>
      </c>
      <c r="N3" s="20" t="s">
        <v>1598</v>
      </c>
    </row>
    <row r="4" ht="26" spans="1:14">
      <c r="A4" s="5" t="s">
        <v>1615</v>
      </c>
      <c r="B4" s="5" t="s">
        <v>373</v>
      </c>
      <c r="C4" s="6" t="s">
        <v>1616</v>
      </c>
      <c r="D4" s="6" t="s">
        <v>1617</v>
      </c>
      <c r="E4" s="6" t="s">
        <v>1618</v>
      </c>
      <c r="F4" s="6" t="s">
        <v>1619</v>
      </c>
      <c r="G4" s="5" t="s">
        <v>392</v>
      </c>
      <c r="H4" s="5" t="s">
        <v>352</v>
      </c>
      <c r="I4" s="5" t="s">
        <v>478</v>
      </c>
      <c r="J4" s="5" t="s">
        <v>1608</v>
      </c>
      <c r="K4" s="5" t="s">
        <v>355</v>
      </c>
      <c r="L4" s="5" t="s">
        <v>355</v>
      </c>
      <c r="M4" s="5" t="s">
        <v>356</v>
      </c>
      <c r="N4" s="72" t="s">
        <v>1620</v>
      </c>
    </row>
    <row r="5" ht="39" spans="1:14">
      <c r="A5" s="5" t="s">
        <v>1621</v>
      </c>
      <c r="B5" s="5" t="s">
        <v>373</v>
      </c>
      <c r="C5" s="6" t="s">
        <v>1622</v>
      </c>
      <c r="D5" s="6" t="s">
        <v>1623</v>
      </c>
      <c r="E5" s="6" t="s">
        <v>1624</v>
      </c>
      <c r="F5" s="6" t="s">
        <v>1625</v>
      </c>
      <c r="G5" s="5" t="s">
        <v>392</v>
      </c>
      <c r="H5" s="5" t="s">
        <v>352</v>
      </c>
      <c r="I5" s="5" t="s">
        <v>478</v>
      </c>
      <c r="J5" s="5" t="s">
        <v>1608</v>
      </c>
      <c r="K5" s="5" t="s">
        <v>355</v>
      </c>
      <c r="L5" s="5" t="s">
        <v>355</v>
      </c>
      <c r="M5" s="5" t="s">
        <v>356</v>
      </c>
      <c r="N5" s="96"/>
    </row>
    <row r="6" ht="39" spans="1:14">
      <c r="A6" s="5" t="s">
        <v>1626</v>
      </c>
      <c r="B6" s="5" t="s">
        <v>373</v>
      </c>
      <c r="C6" s="6" t="s">
        <v>1627</v>
      </c>
      <c r="D6" s="6" t="s">
        <v>1628</v>
      </c>
      <c r="E6" s="6" t="s">
        <v>1629</v>
      </c>
      <c r="F6" s="6" t="s">
        <v>1630</v>
      </c>
      <c r="G6" s="5" t="s">
        <v>392</v>
      </c>
      <c r="H6" s="5" t="s">
        <v>352</v>
      </c>
      <c r="I6" s="5" t="s">
        <v>861</v>
      </c>
      <c r="J6" s="5" t="s">
        <v>1608</v>
      </c>
      <c r="K6" s="5" t="s">
        <v>355</v>
      </c>
      <c r="L6" s="5" t="s">
        <v>355</v>
      </c>
      <c r="M6" s="5" t="s">
        <v>356</v>
      </c>
      <c r="N6" s="98" t="s">
        <v>1631</v>
      </c>
    </row>
    <row r="7" ht="52" spans="1:14">
      <c r="A7" s="5" t="s">
        <v>1632</v>
      </c>
      <c r="B7" s="5" t="s">
        <v>373</v>
      </c>
      <c r="C7" s="6" t="s">
        <v>1633</v>
      </c>
      <c r="D7" s="6" t="s">
        <v>1634</v>
      </c>
      <c r="E7" s="6" t="s">
        <v>1635</v>
      </c>
      <c r="F7" s="6" t="s">
        <v>1636</v>
      </c>
      <c r="G7" s="5" t="s">
        <v>392</v>
      </c>
      <c r="H7" s="5" t="s">
        <v>352</v>
      </c>
      <c r="I7" s="5" t="s">
        <v>861</v>
      </c>
      <c r="J7" s="5" t="s">
        <v>1608</v>
      </c>
      <c r="K7" s="5" t="s">
        <v>355</v>
      </c>
      <c r="L7" s="5" t="s">
        <v>355</v>
      </c>
      <c r="M7" s="5" t="s">
        <v>356</v>
      </c>
      <c r="N7" s="98" t="s">
        <v>1637</v>
      </c>
    </row>
  </sheetData>
  <mergeCells count="1">
    <mergeCell ref="N4:N5"/>
  </mergeCells>
  <pageMargins left="0.699305555555556" right="0.699305555555556"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N81"/>
  <sheetViews>
    <sheetView topLeftCell="A78" workbookViewId="0">
      <selection activeCell="J54" sqref="J54:J67"/>
    </sheetView>
  </sheetViews>
  <sheetFormatPr defaultColWidth="9" defaultRowHeight="13"/>
  <cols>
    <col min="3" max="3" width="26.14" customWidth="1"/>
    <col min="4" max="4" width="27.36" customWidth="1"/>
    <col min="5" max="5" width="48.43" customWidth="1"/>
    <col min="6" max="6" width="25" customWidth="1"/>
    <col min="8" max="8" width="9.64" customWidth="1"/>
    <col min="10" max="10" width="15" customWidth="1"/>
    <col min="13" max="13" width="9.64" customWidth="1"/>
    <col min="14" max="14" width="21.86" customWidth="1"/>
  </cols>
  <sheetData>
    <row r="1" s="1" customFormat="1" spans="1:14">
      <c r="A1" s="4" t="s">
        <v>332</v>
      </c>
      <c r="B1" s="4" t="s">
        <v>333</v>
      </c>
      <c r="C1" s="4" t="s">
        <v>334</v>
      </c>
      <c r="D1" s="4" t="s">
        <v>335</v>
      </c>
      <c r="E1" s="4" t="s">
        <v>336</v>
      </c>
      <c r="F1" s="4" t="s">
        <v>337</v>
      </c>
      <c r="G1" s="4" t="s">
        <v>338</v>
      </c>
      <c r="H1" s="4" t="s">
        <v>339</v>
      </c>
      <c r="I1" s="4" t="s">
        <v>340</v>
      </c>
      <c r="J1" s="4" t="s">
        <v>341</v>
      </c>
      <c r="K1" s="4" t="s">
        <v>342</v>
      </c>
      <c r="L1" s="4" t="s">
        <v>343</v>
      </c>
      <c r="M1" s="4" t="s">
        <v>344</v>
      </c>
      <c r="N1" s="4" t="s">
        <v>235</v>
      </c>
    </row>
    <row r="2" s="1" customFormat="1" ht="24" customHeight="1" spans="1:14">
      <c r="A2" s="5" t="s">
        <v>1638</v>
      </c>
      <c r="B2" s="5" t="s">
        <v>346</v>
      </c>
      <c r="C2" s="6" t="s">
        <v>1639</v>
      </c>
      <c r="D2" s="6" t="s">
        <v>1640</v>
      </c>
      <c r="E2" s="13" t="s">
        <v>1641</v>
      </c>
      <c r="F2" s="5" t="s">
        <v>1642</v>
      </c>
      <c r="G2" s="5" t="s">
        <v>436</v>
      </c>
      <c r="H2" s="5" t="s">
        <v>352</v>
      </c>
      <c r="I2" s="5" t="s">
        <v>478</v>
      </c>
      <c r="J2" s="13" t="s">
        <v>363</v>
      </c>
      <c r="K2" s="5" t="s">
        <v>355</v>
      </c>
      <c r="L2" s="5" t="s">
        <v>355</v>
      </c>
      <c r="M2" s="5" t="s">
        <v>356</v>
      </c>
      <c r="N2" s="14"/>
    </row>
    <row r="3" s="1" customFormat="1" ht="39" spans="1:14">
      <c r="A3" s="5"/>
      <c r="B3" s="5" t="s">
        <v>373</v>
      </c>
      <c r="C3" s="6" t="s">
        <v>1643</v>
      </c>
      <c r="D3" s="6" t="s">
        <v>1644</v>
      </c>
      <c r="E3" s="13"/>
      <c r="F3" s="5"/>
      <c r="G3" s="5"/>
      <c r="H3" s="5"/>
      <c r="I3" s="5"/>
      <c r="J3" s="13"/>
      <c r="K3" s="5"/>
      <c r="L3" s="5"/>
      <c r="M3" s="5"/>
      <c r="N3" s="9" t="s">
        <v>376</v>
      </c>
    </row>
    <row r="4" s="1" customFormat="1" spans="1:14">
      <c r="A4" s="5"/>
      <c r="B4" s="5" t="s">
        <v>346</v>
      </c>
      <c r="C4" s="6" t="s">
        <v>1645</v>
      </c>
      <c r="D4" s="6" t="s">
        <v>1646</v>
      </c>
      <c r="E4" s="13"/>
      <c r="F4" s="5"/>
      <c r="G4" s="5"/>
      <c r="H4" s="5"/>
      <c r="I4" s="5"/>
      <c r="J4" s="5"/>
      <c r="K4" s="5"/>
      <c r="L4" s="5"/>
      <c r="M4" s="5"/>
      <c r="N4" s="14"/>
    </row>
    <row r="5" s="1" customFormat="1" spans="1:14">
      <c r="A5" s="5"/>
      <c r="B5" s="5" t="s">
        <v>346</v>
      </c>
      <c r="C5" s="6" t="s">
        <v>1647</v>
      </c>
      <c r="D5" s="6" t="s">
        <v>1648</v>
      </c>
      <c r="E5" s="13"/>
      <c r="F5" s="5"/>
      <c r="G5" s="5"/>
      <c r="H5" s="5"/>
      <c r="I5" s="5"/>
      <c r="J5" s="5"/>
      <c r="K5" s="5"/>
      <c r="L5" s="5"/>
      <c r="M5" s="5"/>
      <c r="N5" s="14"/>
    </row>
    <row r="6" s="1" customFormat="1" spans="1:14">
      <c r="A6" s="13" t="s">
        <v>1649</v>
      </c>
      <c r="B6" s="5" t="s">
        <v>346</v>
      </c>
      <c r="C6" s="6" t="s">
        <v>1650</v>
      </c>
      <c r="D6" s="6" t="s">
        <v>1651</v>
      </c>
      <c r="E6" s="7" t="s">
        <v>1652</v>
      </c>
      <c r="F6" s="7" t="s">
        <v>1653</v>
      </c>
      <c r="G6" s="13" t="s">
        <v>436</v>
      </c>
      <c r="H6" s="13" t="s">
        <v>352</v>
      </c>
      <c r="I6" s="13" t="s">
        <v>478</v>
      </c>
      <c r="J6" s="13" t="s">
        <v>363</v>
      </c>
      <c r="K6" s="13" t="s">
        <v>355</v>
      </c>
      <c r="L6" s="13" t="s">
        <v>355</v>
      </c>
      <c r="M6" s="13" t="s">
        <v>356</v>
      </c>
      <c r="N6" s="13"/>
    </row>
    <row r="7" s="1" customFormat="1" spans="1:14">
      <c r="A7" s="13"/>
      <c r="B7" s="5" t="s">
        <v>346</v>
      </c>
      <c r="C7" s="6" t="s">
        <v>1654</v>
      </c>
      <c r="D7" s="6" t="s">
        <v>1655</v>
      </c>
      <c r="E7" s="7"/>
      <c r="F7" s="7"/>
      <c r="G7" s="13"/>
      <c r="H7" s="13"/>
      <c r="I7" s="13"/>
      <c r="J7" s="13"/>
      <c r="K7" s="13"/>
      <c r="L7" s="13"/>
      <c r="M7" s="13"/>
      <c r="N7" s="13"/>
    </row>
    <row r="8" s="1" customFormat="1" spans="1:14">
      <c r="A8" s="13"/>
      <c r="B8" s="5" t="s">
        <v>346</v>
      </c>
      <c r="C8" s="6" t="s">
        <v>1656</v>
      </c>
      <c r="D8" s="6" t="s">
        <v>1657</v>
      </c>
      <c r="E8" s="7"/>
      <c r="F8" s="7"/>
      <c r="G8" s="13"/>
      <c r="H8" s="13"/>
      <c r="I8" s="13"/>
      <c r="J8" s="13"/>
      <c r="K8" s="13"/>
      <c r="L8" s="13"/>
      <c r="M8" s="13"/>
      <c r="N8" s="13"/>
    </row>
    <row r="9" s="1" customFormat="1" spans="1:14">
      <c r="A9" s="13"/>
      <c r="B9" s="5" t="s">
        <v>346</v>
      </c>
      <c r="C9" s="6" t="s">
        <v>1658</v>
      </c>
      <c r="D9" s="6" t="s">
        <v>1659</v>
      </c>
      <c r="E9" s="7"/>
      <c r="F9" s="7"/>
      <c r="G9" s="13"/>
      <c r="H9" s="13"/>
      <c r="I9" s="13"/>
      <c r="J9" s="13"/>
      <c r="K9" s="13"/>
      <c r="L9" s="13"/>
      <c r="M9" s="13"/>
      <c r="N9" s="13"/>
    </row>
    <row r="10" s="1" customFormat="1" spans="1:14">
      <c r="A10" s="13"/>
      <c r="B10" s="5" t="s">
        <v>346</v>
      </c>
      <c r="C10" s="6" t="s">
        <v>1660</v>
      </c>
      <c r="D10" s="6" t="s">
        <v>1661</v>
      </c>
      <c r="E10" s="7"/>
      <c r="F10" s="7"/>
      <c r="G10" s="13"/>
      <c r="H10" s="13"/>
      <c r="I10" s="13"/>
      <c r="J10" s="13"/>
      <c r="K10" s="13"/>
      <c r="L10" s="13"/>
      <c r="M10" s="13"/>
      <c r="N10" s="13"/>
    </row>
    <row r="11" s="1" customFormat="1" spans="1:14">
      <c r="A11" s="5" t="s">
        <v>1662</v>
      </c>
      <c r="B11" s="5" t="s">
        <v>346</v>
      </c>
      <c r="C11" s="6" t="s">
        <v>1663</v>
      </c>
      <c r="D11" s="6" t="s">
        <v>1664</v>
      </c>
      <c r="E11" s="7" t="s">
        <v>1665</v>
      </c>
      <c r="F11" s="7" t="s">
        <v>1666</v>
      </c>
      <c r="G11" s="5" t="s">
        <v>436</v>
      </c>
      <c r="H11" s="5" t="s">
        <v>352</v>
      </c>
      <c r="I11" s="5" t="s">
        <v>478</v>
      </c>
      <c r="J11" s="13" t="s">
        <v>363</v>
      </c>
      <c r="K11" s="5" t="s">
        <v>355</v>
      </c>
      <c r="L11" s="5" t="s">
        <v>355</v>
      </c>
      <c r="M11" s="5" t="s">
        <v>356</v>
      </c>
      <c r="N11" s="5"/>
    </row>
    <row r="12" s="1" customFormat="1" ht="26" spans="1:14">
      <c r="A12" s="5"/>
      <c r="B12" s="5" t="s">
        <v>346</v>
      </c>
      <c r="C12" s="6" t="s">
        <v>1667</v>
      </c>
      <c r="D12" s="6" t="s">
        <v>1668</v>
      </c>
      <c r="E12" s="7"/>
      <c r="F12" s="7"/>
      <c r="G12" s="5"/>
      <c r="H12" s="5"/>
      <c r="I12" s="5"/>
      <c r="J12" s="5"/>
      <c r="K12" s="5"/>
      <c r="L12" s="5"/>
      <c r="M12" s="5"/>
      <c r="N12" s="5"/>
    </row>
    <row r="13" s="1" customFormat="1" ht="26" spans="1:14">
      <c r="A13" s="5"/>
      <c r="B13" s="5" t="s">
        <v>346</v>
      </c>
      <c r="C13" s="6" t="s">
        <v>1669</v>
      </c>
      <c r="D13" s="6" t="s">
        <v>1670</v>
      </c>
      <c r="E13" s="7"/>
      <c r="F13" s="7"/>
      <c r="G13" s="5"/>
      <c r="H13" s="5"/>
      <c r="I13" s="5"/>
      <c r="J13" s="5"/>
      <c r="K13" s="5"/>
      <c r="L13" s="5"/>
      <c r="M13" s="5"/>
      <c r="N13" s="5"/>
    </row>
    <row r="14" s="1" customFormat="1" ht="26" spans="1:14">
      <c r="A14" s="5"/>
      <c r="B14" s="5" t="s">
        <v>346</v>
      </c>
      <c r="C14" s="6" t="s">
        <v>1671</v>
      </c>
      <c r="D14" s="6" t="s">
        <v>1672</v>
      </c>
      <c r="E14" s="7"/>
      <c r="F14" s="7"/>
      <c r="G14" s="5"/>
      <c r="H14" s="5"/>
      <c r="I14" s="5"/>
      <c r="J14" s="5"/>
      <c r="K14" s="5"/>
      <c r="L14" s="5"/>
      <c r="M14" s="5"/>
      <c r="N14" s="5"/>
    </row>
    <row r="15" s="1" customFormat="1" ht="26" spans="1:14">
      <c r="A15" s="5"/>
      <c r="B15" s="5" t="s">
        <v>346</v>
      </c>
      <c r="C15" s="6" t="s">
        <v>1673</v>
      </c>
      <c r="D15" s="6" t="s">
        <v>1674</v>
      </c>
      <c r="E15" s="7"/>
      <c r="F15" s="7"/>
      <c r="G15" s="5"/>
      <c r="H15" s="5"/>
      <c r="I15" s="5"/>
      <c r="J15" s="5"/>
      <c r="K15" s="5"/>
      <c r="L15" s="5"/>
      <c r="M15" s="5"/>
      <c r="N15" s="5"/>
    </row>
    <row r="16" s="1" customFormat="1" ht="26" spans="1:14">
      <c r="A16" s="5"/>
      <c r="B16" s="5" t="s">
        <v>346</v>
      </c>
      <c r="C16" s="6" t="s">
        <v>1675</v>
      </c>
      <c r="D16" s="6" t="s">
        <v>1676</v>
      </c>
      <c r="E16" s="7"/>
      <c r="F16" s="7"/>
      <c r="G16" s="5"/>
      <c r="H16" s="5"/>
      <c r="I16" s="5"/>
      <c r="J16" s="5"/>
      <c r="K16" s="5"/>
      <c r="L16" s="5"/>
      <c r="M16" s="5"/>
      <c r="N16" s="5"/>
    </row>
    <row r="17" s="1" customFormat="1" ht="26" spans="1:14">
      <c r="A17" s="5"/>
      <c r="B17" s="5" t="s">
        <v>346</v>
      </c>
      <c r="C17" s="6" t="s">
        <v>1677</v>
      </c>
      <c r="D17" s="6" t="s">
        <v>1678</v>
      </c>
      <c r="E17" s="7"/>
      <c r="F17" s="7"/>
      <c r="G17" s="5"/>
      <c r="H17" s="5"/>
      <c r="I17" s="5"/>
      <c r="J17" s="5"/>
      <c r="K17" s="5"/>
      <c r="L17" s="5"/>
      <c r="M17" s="5"/>
      <c r="N17" s="5"/>
    </row>
    <row r="18" s="1" customFormat="1" ht="54.95" customHeight="1" spans="1:14">
      <c r="A18" s="5" t="s">
        <v>1679</v>
      </c>
      <c r="B18" s="5" t="s">
        <v>346</v>
      </c>
      <c r="C18" s="6" t="s">
        <v>1680</v>
      </c>
      <c r="D18" s="6" t="s">
        <v>1681</v>
      </c>
      <c r="E18" s="7" t="s">
        <v>1682</v>
      </c>
      <c r="F18" s="7" t="s">
        <v>1683</v>
      </c>
      <c r="G18" s="5" t="s">
        <v>436</v>
      </c>
      <c r="H18" s="5" t="s">
        <v>352</v>
      </c>
      <c r="I18" s="5" t="s">
        <v>478</v>
      </c>
      <c r="J18" s="13" t="s">
        <v>363</v>
      </c>
      <c r="K18" s="5" t="s">
        <v>355</v>
      </c>
      <c r="L18" s="5" t="s">
        <v>355</v>
      </c>
      <c r="M18" s="5" t="s">
        <v>356</v>
      </c>
      <c r="N18" s="15"/>
    </row>
    <row r="19" s="1" customFormat="1" spans="1:14">
      <c r="A19" s="5" t="s">
        <v>1684</v>
      </c>
      <c r="B19" s="5" t="s">
        <v>346</v>
      </c>
      <c r="C19" s="6" t="s">
        <v>1685</v>
      </c>
      <c r="D19" s="6" t="s">
        <v>1686</v>
      </c>
      <c r="E19" s="7" t="s">
        <v>1687</v>
      </c>
      <c r="F19" s="85" t="s">
        <v>1688</v>
      </c>
      <c r="G19" s="85" t="s">
        <v>436</v>
      </c>
      <c r="H19" s="85" t="s">
        <v>352</v>
      </c>
      <c r="I19" s="85" t="s">
        <v>478</v>
      </c>
      <c r="J19" s="19" t="s">
        <v>363</v>
      </c>
      <c r="K19" s="85" t="s">
        <v>355</v>
      </c>
      <c r="L19" s="85" t="s">
        <v>355</v>
      </c>
      <c r="M19" s="85" t="s">
        <v>356</v>
      </c>
      <c r="N19" s="9"/>
    </row>
    <row r="20" s="1" customFormat="1" ht="39" spans="1:14">
      <c r="A20" s="5"/>
      <c r="B20" s="5" t="s">
        <v>373</v>
      </c>
      <c r="C20" s="6" t="s">
        <v>1689</v>
      </c>
      <c r="D20" s="6" t="s">
        <v>1690</v>
      </c>
      <c r="E20" s="7"/>
      <c r="F20" s="85"/>
      <c r="G20" s="85"/>
      <c r="H20" s="85"/>
      <c r="I20" s="85"/>
      <c r="J20" s="58"/>
      <c r="K20" s="85"/>
      <c r="L20" s="85"/>
      <c r="M20" s="85"/>
      <c r="N20" s="9" t="s">
        <v>376</v>
      </c>
    </row>
    <row r="21" s="1" customFormat="1" spans="1:14">
      <c r="A21" s="5"/>
      <c r="B21" s="5" t="s">
        <v>346</v>
      </c>
      <c r="C21" s="6" t="s">
        <v>1691</v>
      </c>
      <c r="D21" s="6" t="s">
        <v>1692</v>
      </c>
      <c r="E21" s="7"/>
      <c r="F21" s="85"/>
      <c r="G21" s="85"/>
      <c r="H21" s="85"/>
      <c r="I21" s="85"/>
      <c r="J21" s="58"/>
      <c r="K21" s="85"/>
      <c r="L21" s="85"/>
      <c r="M21" s="85"/>
      <c r="N21" s="9"/>
    </row>
    <row r="22" s="1" customFormat="1" spans="1:14">
      <c r="A22" s="5"/>
      <c r="B22" s="5" t="s">
        <v>346</v>
      </c>
      <c r="C22" s="6" t="s">
        <v>1693</v>
      </c>
      <c r="D22" s="6" t="s">
        <v>1694</v>
      </c>
      <c r="E22" s="7"/>
      <c r="F22" s="85"/>
      <c r="G22" s="85" t="s">
        <v>436</v>
      </c>
      <c r="H22" s="85" t="s">
        <v>352</v>
      </c>
      <c r="I22" s="85" t="s">
        <v>478</v>
      </c>
      <c r="J22" s="58"/>
      <c r="K22" s="85" t="s">
        <v>355</v>
      </c>
      <c r="L22" s="85" t="s">
        <v>355</v>
      </c>
      <c r="M22" s="85" t="s">
        <v>356</v>
      </c>
      <c r="N22" s="9"/>
    </row>
    <row r="23" s="1" customFormat="1" spans="1:14">
      <c r="A23" s="5"/>
      <c r="B23" s="5" t="s">
        <v>346</v>
      </c>
      <c r="C23" s="6" t="s">
        <v>1695</v>
      </c>
      <c r="D23" s="6" t="s">
        <v>1696</v>
      </c>
      <c r="E23" s="7"/>
      <c r="F23" s="85"/>
      <c r="G23" s="85" t="s">
        <v>436</v>
      </c>
      <c r="H23" s="85" t="s">
        <v>352</v>
      </c>
      <c r="I23" s="85" t="s">
        <v>478</v>
      </c>
      <c r="J23" s="58"/>
      <c r="K23" s="85" t="s">
        <v>355</v>
      </c>
      <c r="L23" s="85" t="s">
        <v>355</v>
      </c>
      <c r="M23" s="85" t="s">
        <v>356</v>
      </c>
      <c r="N23" s="9"/>
    </row>
    <row r="24" s="1" customFormat="1" spans="1:14">
      <c r="A24" s="5"/>
      <c r="B24" s="5" t="s">
        <v>346</v>
      </c>
      <c r="C24" s="6" t="s">
        <v>1697</v>
      </c>
      <c r="D24" s="6" t="s">
        <v>1698</v>
      </c>
      <c r="E24" s="7"/>
      <c r="F24" s="85"/>
      <c r="G24" s="85" t="s">
        <v>436</v>
      </c>
      <c r="H24" s="85" t="s">
        <v>352</v>
      </c>
      <c r="I24" s="85" t="s">
        <v>478</v>
      </c>
      <c r="J24" s="58"/>
      <c r="K24" s="85" t="s">
        <v>355</v>
      </c>
      <c r="L24" s="85" t="s">
        <v>355</v>
      </c>
      <c r="M24" s="85" t="s">
        <v>356</v>
      </c>
      <c r="N24" s="9"/>
    </row>
    <row r="25" s="1" customFormat="1" ht="23.75" customHeight="1" spans="1:14">
      <c r="A25" s="5"/>
      <c r="B25" s="5" t="s">
        <v>346</v>
      </c>
      <c r="C25" s="6" t="s">
        <v>1699</v>
      </c>
      <c r="D25" s="6" t="s">
        <v>1700</v>
      </c>
      <c r="E25" s="7"/>
      <c r="F25" s="85"/>
      <c r="G25" s="85" t="s">
        <v>436</v>
      </c>
      <c r="H25" s="85" t="s">
        <v>352</v>
      </c>
      <c r="I25" s="85" t="s">
        <v>478</v>
      </c>
      <c r="J25" s="58"/>
      <c r="K25" s="85" t="s">
        <v>355</v>
      </c>
      <c r="L25" s="85" t="s">
        <v>355</v>
      </c>
      <c r="M25" s="85" t="s">
        <v>356</v>
      </c>
      <c r="N25" s="9"/>
    </row>
    <row r="26" s="1" customFormat="1" spans="1:14">
      <c r="A26" s="5"/>
      <c r="B26" s="5" t="s">
        <v>346</v>
      </c>
      <c r="C26" s="6" t="s">
        <v>1701</v>
      </c>
      <c r="D26" s="6" t="s">
        <v>1702</v>
      </c>
      <c r="E26" s="7"/>
      <c r="F26" s="85"/>
      <c r="G26" s="85" t="s">
        <v>436</v>
      </c>
      <c r="H26" s="85" t="s">
        <v>352</v>
      </c>
      <c r="I26" s="85" t="s">
        <v>478</v>
      </c>
      <c r="J26" s="58"/>
      <c r="K26" s="85" t="s">
        <v>355</v>
      </c>
      <c r="L26" s="85" t="s">
        <v>355</v>
      </c>
      <c r="M26" s="85" t="s">
        <v>356</v>
      </c>
      <c r="N26" s="9"/>
    </row>
    <row r="27" s="1" customFormat="1" spans="1:14">
      <c r="A27" s="5"/>
      <c r="B27" s="5" t="s">
        <v>346</v>
      </c>
      <c r="C27" s="6" t="s">
        <v>1703</v>
      </c>
      <c r="D27" s="6" t="s">
        <v>1704</v>
      </c>
      <c r="E27" s="7"/>
      <c r="F27" s="85"/>
      <c r="G27" s="85" t="s">
        <v>436</v>
      </c>
      <c r="H27" s="85" t="s">
        <v>352</v>
      </c>
      <c r="I27" s="85" t="s">
        <v>478</v>
      </c>
      <c r="J27" s="58"/>
      <c r="K27" s="85" t="s">
        <v>355</v>
      </c>
      <c r="L27" s="85" t="s">
        <v>355</v>
      </c>
      <c r="M27" s="85" t="s">
        <v>356</v>
      </c>
      <c r="N27" s="9"/>
    </row>
    <row r="28" s="1" customFormat="1" spans="1:14">
      <c r="A28" s="5"/>
      <c r="B28" s="5" t="s">
        <v>346</v>
      </c>
      <c r="C28" s="6" t="s">
        <v>1705</v>
      </c>
      <c r="D28" s="6" t="s">
        <v>1706</v>
      </c>
      <c r="E28" s="7"/>
      <c r="F28" s="85"/>
      <c r="G28" s="85" t="s">
        <v>436</v>
      </c>
      <c r="H28" s="85" t="s">
        <v>352</v>
      </c>
      <c r="I28" s="85" t="s">
        <v>478</v>
      </c>
      <c r="J28" s="59"/>
      <c r="K28" s="85" t="s">
        <v>355</v>
      </c>
      <c r="L28" s="85" t="s">
        <v>355</v>
      </c>
      <c r="M28" s="85" t="s">
        <v>356</v>
      </c>
      <c r="N28" s="9"/>
    </row>
    <row r="29" s="1" customFormat="1" spans="1:14">
      <c r="A29" s="5"/>
      <c r="B29" s="5" t="s">
        <v>346</v>
      </c>
      <c r="C29" s="6" t="s">
        <v>1707</v>
      </c>
      <c r="D29" s="6" t="s">
        <v>1708</v>
      </c>
      <c r="E29" s="7"/>
      <c r="F29" s="85"/>
      <c r="G29" s="85" t="s">
        <v>436</v>
      </c>
      <c r="H29" s="85" t="s">
        <v>352</v>
      </c>
      <c r="I29" s="85" t="s">
        <v>478</v>
      </c>
      <c r="J29" s="19" t="s">
        <v>1408</v>
      </c>
      <c r="K29" s="85" t="s">
        <v>355</v>
      </c>
      <c r="L29" s="85" t="s">
        <v>355</v>
      </c>
      <c r="M29" s="85" t="s">
        <v>356</v>
      </c>
      <c r="N29" s="9"/>
    </row>
    <row r="30" s="1" customFormat="1" spans="1:14">
      <c r="A30" s="5"/>
      <c r="B30" s="5" t="s">
        <v>346</v>
      </c>
      <c r="C30" s="6" t="s">
        <v>1709</v>
      </c>
      <c r="D30" s="6" t="s">
        <v>1710</v>
      </c>
      <c r="E30" s="7"/>
      <c r="F30" s="85"/>
      <c r="G30" s="85" t="s">
        <v>436</v>
      </c>
      <c r="H30" s="85" t="s">
        <v>352</v>
      </c>
      <c r="I30" s="85" t="s">
        <v>478</v>
      </c>
      <c r="J30" s="58"/>
      <c r="K30" s="85" t="s">
        <v>355</v>
      </c>
      <c r="L30" s="85" t="s">
        <v>355</v>
      </c>
      <c r="M30" s="85" t="s">
        <v>356</v>
      </c>
      <c r="N30" s="9"/>
    </row>
    <row r="31" s="1" customFormat="1" spans="1:14">
      <c r="A31" s="5"/>
      <c r="B31" s="5" t="s">
        <v>346</v>
      </c>
      <c r="C31" s="6" t="s">
        <v>1711</v>
      </c>
      <c r="D31" s="6" t="s">
        <v>1712</v>
      </c>
      <c r="E31" s="7"/>
      <c r="F31" s="85"/>
      <c r="G31" s="85" t="s">
        <v>436</v>
      </c>
      <c r="H31" s="85" t="s">
        <v>352</v>
      </c>
      <c r="I31" s="85" t="s">
        <v>478</v>
      </c>
      <c r="J31" s="58"/>
      <c r="K31" s="85" t="s">
        <v>355</v>
      </c>
      <c r="L31" s="85" t="s">
        <v>355</v>
      </c>
      <c r="M31" s="85" t="s">
        <v>356</v>
      </c>
      <c r="N31" s="9"/>
    </row>
    <row r="32" s="1" customFormat="1" spans="1:14">
      <c r="A32" s="5"/>
      <c r="B32" s="5" t="s">
        <v>346</v>
      </c>
      <c r="C32" s="6" t="s">
        <v>1713</v>
      </c>
      <c r="D32" s="6" t="s">
        <v>1714</v>
      </c>
      <c r="E32" s="7"/>
      <c r="F32" s="85"/>
      <c r="G32" s="85"/>
      <c r="H32" s="85"/>
      <c r="I32" s="85"/>
      <c r="J32" s="59"/>
      <c r="K32" s="85"/>
      <c r="L32" s="85"/>
      <c r="M32" s="85"/>
      <c r="N32" s="9"/>
    </row>
    <row r="33" s="1" customFormat="1" ht="26" spans="1:14">
      <c r="A33" s="5"/>
      <c r="B33" s="5" t="s">
        <v>373</v>
      </c>
      <c r="C33" s="6" t="s">
        <v>1715</v>
      </c>
      <c r="D33" s="6" t="s">
        <v>1716</v>
      </c>
      <c r="E33" s="7"/>
      <c r="F33" s="85"/>
      <c r="G33" s="85" t="s">
        <v>436</v>
      </c>
      <c r="H33" s="85" t="s">
        <v>352</v>
      </c>
      <c r="I33" s="85" t="s">
        <v>478</v>
      </c>
      <c r="J33" s="9" t="s">
        <v>363</v>
      </c>
      <c r="K33" s="85" t="s">
        <v>355</v>
      </c>
      <c r="L33" s="85" t="s">
        <v>355</v>
      </c>
      <c r="M33" s="85" t="s">
        <v>356</v>
      </c>
      <c r="N33" s="9" t="s">
        <v>1717</v>
      </c>
    </row>
    <row r="34" s="1" customFormat="1" spans="1:14">
      <c r="A34" s="5" t="s">
        <v>1718</v>
      </c>
      <c r="B34" s="5" t="s">
        <v>346</v>
      </c>
      <c r="C34" s="6" t="s">
        <v>1719</v>
      </c>
      <c r="D34" s="6" t="s">
        <v>1720</v>
      </c>
      <c r="E34" s="7" t="s">
        <v>1721</v>
      </c>
      <c r="F34" s="7" t="s">
        <v>1722</v>
      </c>
      <c r="G34" s="13" t="s">
        <v>436</v>
      </c>
      <c r="H34" s="13" t="s">
        <v>352</v>
      </c>
      <c r="I34" s="13" t="s">
        <v>478</v>
      </c>
      <c r="J34" s="13" t="s">
        <v>363</v>
      </c>
      <c r="K34" s="13" t="s">
        <v>355</v>
      </c>
      <c r="L34" s="13" t="s">
        <v>355</v>
      </c>
      <c r="M34" s="13" t="s">
        <v>356</v>
      </c>
      <c r="N34" s="9"/>
    </row>
    <row r="35" s="1" customFormat="1" spans="1:14">
      <c r="A35" s="5"/>
      <c r="B35" s="5" t="s">
        <v>346</v>
      </c>
      <c r="C35" s="6" t="s">
        <v>1723</v>
      </c>
      <c r="D35" s="6" t="s">
        <v>1724</v>
      </c>
      <c r="E35" s="7"/>
      <c r="F35" s="7"/>
      <c r="G35" s="13"/>
      <c r="H35" s="13"/>
      <c r="I35" s="13"/>
      <c r="J35" s="13"/>
      <c r="K35" s="13"/>
      <c r="L35" s="13"/>
      <c r="M35" s="13"/>
      <c r="N35" s="9"/>
    </row>
    <row r="36" s="1" customFormat="1" spans="1:14">
      <c r="A36" s="5"/>
      <c r="B36" s="5" t="s">
        <v>346</v>
      </c>
      <c r="C36" s="6" t="s">
        <v>1725</v>
      </c>
      <c r="D36" s="6" t="s">
        <v>1726</v>
      </c>
      <c r="E36" s="7"/>
      <c r="F36" s="7"/>
      <c r="G36" s="13"/>
      <c r="H36" s="13"/>
      <c r="I36" s="13"/>
      <c r="J36" s="13"/>
      <c r="K36" s="13"/>
      <c r="L36" s="13"/>
      <c r="M36" s="13"/>
      <c r="N36" s="9"/>
    </row>
    <row r="37" s="1" customFormat="1" spans="1:14">
      <c r="A37" s="5"/>
      <c r="B37" s="5" t="s">
        <v>346</v>
      </c>
      <c r="C37" s="6" t="s">
        <v>1727</v>
      </c>
      <c r="D37" s="6" t="s">
        <v>1728</v>
      </c>
      <c r="E37" s="7"/>
      <c r="F37" s="7"/>
      <c r="G37" s="13"/>
      <c r="H37" s="13"/>
      <c r="I37" s="13"/>
      <c r="J37" s="13"/>
      <c r="K37" s="13"/>
      <c r="L37" s="13"/>
      <c r="M37" s="13"/>
      <c r="N37" s="9"/>
    </row>
    <row r="38" s="1" customFormat="1" spans="1:14">
      <c r="A38" s="5"/>
      <c r="B38" s="5" t="s">
        <v>346</v>
      </c>
      <c r="C38" s="6" t="s">
        <v>1729</v>
      </c>
      <c r="D38" s="6" t="s">
        <v>1730</v>
      </c>
      <c r="E38" s="7"/>
      <c r="F38" s="7"/>
      <c r="G38" s="13"/>
      <c r="H38" s="13"/>
      <c r="I38" s="13"/>
      <c r="J38" s="13"/>
      <c r="K38" s="13"/>
      <c r="L38" s="13"/>
      <c r="M38" s="13"/>
      <c r="N38" s="9"/>
    </row>
    <row r="39" s="1" customFormat="1" ht="26" spans="1:14">
      <c r="A39" s="5"/>
      <c r="B39" s="5" t="s">
        <v>373</v>
      </c>
      <c r="C39" s="6" t="s">
        <v>1731</v>
      </c>
      <c r="D39" s="6" t="s">
        <v>1732</v>
      </c>
      <c r="E39" s="7"/>
      <c r="F39" s="7"/>
      <c r="G39" s="13"/>
      <c r="H39" s="13"/>
      <c r="I39" s="13"/>
      <c r="J39" s="13"/>
      <c r="K39" s="13"/>
      <c r="L39" s="13"/>
      <c r="M39" s="13"/>
      <c r="N39" s="9" t="s">
        <v>1733</v>
      </c>
    </row>
    <row r="40" s="1" customFormat="1" spans="1:14">
      <c r="A40" s="5" t="s">
        <v>1734</v>
      </c>
      <c r="B40" s="5" t="s">
        <v>346</v>
      </c>
      <c r="C40" s="6" t="s">
        <v>1735</v>
      </c>
      <c r="D40" s="6" t="s">
        <v>1736</v>
      </c>
      <c r="E40" s="7" t="s">
        <v>1737</v>
      </c>
      <c r="F40" s="7" t="s">
        <v>1738</v>
      </c>
      <c r="G40" s="13" t="s">
        <v>436</v>
      </c>
      <c r="H40" s="13" t="s">
        <v>352</v>
      </c>
      <c r="I40" s="13" t="s">
        <v>478</v>
      </c>
      <c r="J40" s="13" t="s">
        <v>363</v>
      </c>
      <c r="K40" s="13" t="s">
        <v>355</v>
      </c>
      <c r="L40" s="13" t="s">
        <v>355</v>
      </c>
      <c r="M40" s="13" t="s">
        <v>356</v>
      </c>
      <c r="N40" s="9"/>
    </row>
    <row r="41" s="1" customFormat="1" ht="26" spans="1:14">
      <c r="A41" s="5"/>
      <c r="B41" s="5" t="s">
        <v>346</v>
      </c>
      <c r="C41" s="6" t="s">
        <v>1739</v>
      </c>
      <c r="D41" s="6" t="s">
        <v>1740</v>
      </c>
      <c r="E41" s="7"/>
      <c r="F41" s="7"/>
      <c r="G41" s="13"/>
      <c r="H41" s="13"/>
      <c r="I41" s="13"/>
      <c r="J41" s="13"/>
      <c r="K41" s="13"/>
      <c r="L41" s="13"/>
      <c r="M41" s="13"/>
      <c r="N41" s="9"/>
    </row>
    <row r="42" s="1" customFormat="1" ht="26" spans="1:14">
      <c r="A42" s="5"/>
      <c r="B42" s="5" t="s">
        <v>346</v>
      </c>
      <c r="C42" s="6" t="s">
        <v>1741</v>
      </c>
      <c r="D42" s="6" t="s">
        <v>1742</v>
      </c>
      <c r="E42" s="7"/>
      <c r="F42" s="7"/>
      <c r="G42" s="13"/>
      <c r="H42" s="13"/>
      <c r="I42" s="13"/>
      <c r="J42" s="13"/>
      <c r="K42" s="13"/>
      <c r="L42" s="13"/>
      <c r="M42" s="13"/>
      <c r="N42" s="9"/>
    </row>
    <row r="43" s="1" customFormat="1" ht="26" spans="1:14">
      <c r="A43" s="5"/>
      <c r="B43" s="5" t="s">
        <v>346</v>
      </c>
      <c r="C43" s="6" t="s">
        <v>1743</v>
      </c>
      <c r="D43" s="6" t="s">
        <v>1744</v>
      </c>
      <c r="E43" s="7"/>
      <c r="F43" s="7"/>
      <c r="G43" s="13"/>
      <c r="H43" s="13"/>
      <c r="I43" s="13"/>
      <c r="J43" s="13"/>
      <c r="K43" s="13"/>
      <c r="L43" s="13"/>
      <c r="M43" s="13"/>
      <c r="N43" s="9"/>
    </row>
    <row r="44" s="1" customFormat="1" ht="26" spans="1:14">
      <c r="A44" s="5"/>
      <c r="B44" s="5" t="s">
        <v>373</v>
      </c>
      <c r="C44" s="6" t="s">
        <v>1745</v>
      </c>
      <c r="D44" s="6" t="s">
        <v>1746</v>
      </c>
      <c r="E44" s="7"/>
      <c r="F44" s="7"/>
      <c r="G44" s="13"/>
      <c r="H44" s="13"/>
      <c r="I44" s="13"/>
      <c r="J44" s="13"/>
      <c r="K44" s="13"/>
      <c r="L44" s="13"/>
      <c r="M44" s="13"/>
      <c r="N44" s="9" t="s">
        <v>1733</v>
      </c>
    </row>
    <row r="45" s="1" customFormat="1" ht="26" spans="1:14">
      <c r="A45" s="5"/>
      <c r="B45" s="5" t="s">
        <v>346</v>
      </c>
      <c r="C45" s="6" t="s">
        <v>1747</v>
      </c>
      <c r="D45" s="6" t="s">
        <v>1748</v>
      </c>
      <c r="E45" s="7"/>
      <c r="F45" s="7"/>
      <c r="G45" s="13"/>
      <c r="H45" s="13"/>
      <c r="I45" s="13"/>
      <c r="J45" s="13"/>
      <c r="K45" s="13"/>
      <c r="L45" s="13"/>
      <c r="M45" s="13"/>
      <c r="N45" s="9"/>
    </row>
    <row r="46" s="1" customFormat="1" ht="26" spans="1:14">
      <c r="A46" s="5"/>
      <c r="B46" s="5" t="s">
        <v>346</v>
      </c>
      <c r="C46" s="6" t="s">
        <v>1749</v>
      </c>
      <c r="D46" s="6" t="s">
        <v>1750</v>
      </c>
      <c r="E46" s="7"/>
      <c r="F46" s="7"/>
      <c r="G46" s="13"/>
      <c r="H46" s="13"/>
      <c r="I46" s="13"/>
      <c r="J46" s="13"/>
      <c r="K46" s="13"/>
      <c r="L46" s="13"/>
      <c r="M46" s="13"/>
      <c r="N46" s="9"/>
    </row>
    <row r="47" s="1" customFormat="1" ht="26" spans="1:14">
      <c r="A47" s="5"/>
      <c r="B47" s="5" t="s">
        <v>346</v>
      </c>
      <c r="C47" s="6" t="s">
        <v>1751</v>
      </c>
      <c r="D47" s="6" t="s">
        <v>1752</v>
      </c>
      <c r="E47" s="7"/>
      <c r="F47" s="7"/>
      <c r="G47" s="13"/>
      <c r="H47" s="13"/>
      <c r="I47" s="13"/>
      <c r="J47" s="13"/>
      <c r="K47" s="13"/>
      <c r="L47" s="13"/>
      <c r="M47" s="13"/>
      <c r="N47" s="9"/>
    </row>
    <row r="48" s="1" customFormat="1" ht="26" spans="1:14">
      <c r="A48" s="5"/>
      <c r="B48" s="5" t="s">
        <v>373</v>
      </c>
      <c r="C48" s="6" t="s">
        <v>1753</v>
      </c>
      <c r="D48" s="6" t="s">
        <v>1754</v>
      </c>
      <c r="E48" s="7"/>
      <c r="F48" s="7"/>
      <c r="G48" s="13"/>
      <c r="H48" s="13"/>
      <c r="I48" s="13"/>
      <c r="J48" s="13"/>
      <c r="K48" s="13"/>
      <c r="L48" s="13"/>
      <c r="M48" s="13"/>
      <c r="N48" s="9" t="s">
        <v>1733</v>
      </c>
    </row>
    <row r="49" s="1" customFormat="1" ht="54.95" customHeight="1" spans="1:14">
      <c r="A49" s="5" t="s">
        <v>1755</v>
      </c>
      <c r="B49" s="5" t="s">
        <v>346</v>
      </c>
      <c r="C49" s="6" t="s">
        <v>1756</v>
      </c>
      <c r="D49" s="6" t="s">
        <v>1757</v>
      </c>
      <c r="E49" s="7" t="s">
        <v>1758</v>
      </c>
      <c r="F49" s="7" t="s">
        <v>1683</v>
      </c>
      <c r="G49" s="5" t="s">
        <v>436</v>
      </c>
      <c r="H49" s="5" t="s">
        <v>352</v>
      </c>
      <c r="I49" s="5" t="s">
        <v>478</v>
      </c>
      <c r="J49" s="13" t="s">
        <v>363</v>
      </c>
      <c r="K49" s="5" t="s">
        <v>355</v>
      </c>
      <c r="L49" s="5" t="s">
        <v>355</v>
      </c>
      <c r="M49" s="5" t="s">
        <v>356</v>
      </c>
      <c r="N49" s="15"/>
    </row>
    <row r="50" ht="26" spans="1:14">
      <c r="A50" s="5" t="s">
        <v>1759</v>
      </c>
      <c r="B50" s="5" t="s">
        <v>373</v>
      </c>
      <c r="C50" s="6" t="s">
        <v>1760</v>
      </c>
      <c r="D50" s="6" t="s">
        <v>1761</v>
      </c>
      <c r="E50" s="7" t="s">
        <v>1762</v>
      </c>
      <c r="F50" s="13" t="s">
        <v>1763</v>
      </c>
      <c r="G50" s="5" t="s">
        <v>436</v>
      </c>
      <c r="H50" s="5" t="s">
        <v>352</v>
      </c>
      <c r="I50" s="5" t="s">
        <v>371</v>
      </c>
      <c r="J50" s="13" t="s">
        <v>363</v>
      </c>
      <c r="K50" s="5" t="s">
        <v>355</v>
      </c>
      <c r="L50" s="5" t="s">
        <v>355</v>
      </c>
      <c r="M50" s="5" t="s">
        <v>356</v>
      </c>
      <c r="N50" s="19" t="s">
        <v>1764</v>
      </c>
    </row>
    <row r="51" ht="26" spans="1:14">
      <c r="A51" s="5" t="s">
        <v>1765</v>
      </c>
      <c r="B51" s="5" t="s">
        <v>373</v>
      </c>
      <c r="C51" s="6" t="s">
        <v>1766</v>
      </c>
      <c r="D51" s="6" t="s">
        <v>1767</v>
      </c>
      <c r="E51" s="7" t="s">
        <v>1768</v>
      </c>
      <c r="F51" s="13" t="s">
        <v>1769</v>
      </c>
      <c r="G51" s="5" t="s">
        <v>436</v>
      </c>
      <c r="H51" s="5" t="s">
        <v>352</v>
      </c>
      <c r="I51" s="5" t="s">
        <v>371</v>
      </c>
      <c r="J51" s="13" t="s">
        <v>363</v>
      </c>
      <c r="K51" s="5" t="s">
        <v>355</v>
      </c>
      <c r="L51" s="5" t="s">
        <v>355</v>
      </c>
      <c r="M51" s="5" t="s">
        <v>356</v>
      </c>
      <c r="N51" s="59"/>
    </row>
    <row r="52" ht="26" spans="1:14">
      <c r="A52" s="5" t="s">
        <v>1770</v>
      </c>
      <c r="B52" s="5" t="s">
        <v>346</v>
      </c>
      <c r="C52" s="6" t="s">
        <v>1771</v>
      </c>
      <c r="D52" s="6" t="s">
        <v>1772</v>
      </c>
      <c r="E52" s="63" t="s">
        <v>1773</v>
      </c>
      <c r="F52" s="14" t="s">
        <v>456</v>
      </c>
      <c r="G52" s="5" t="s">
        <v>457</v>
      </c>
      <c r="H52" s="5" t="s">
        <v>462</v>
      </c>
      <c r="I52" s="5" t="s">
        <v>478</v>
      </c>
      <c r="J52" s="13" t="s">
        <v>363</v>
      </c>
      <c r="K52" s="5" t="s">
        <v>355</v>
      </c>
      <c r="L52" s="5" t="s">
        <v>355</v>
      </c>
      <c r="M52" s="5" t="s">
        <v>356</v>
      </c>
      <c r="N52" s="9"/>
    </row>
    <row r="53" ht="26" spans="1:14">
      <c r="A53" s="5" t="s">
        <v>1774</v>
      </c>
      <c r="B53" s="5" t="s">
        <v>346</v>
      </c>
      <c r="C53" s="6" t="s">
        <v>1775</v>
      </c>
      <c r="D53" s="6" t="s">
        <v>1776</v>
      </c>
      <c r="E53" s="63" t="s">
        <v>1777</v>
      </c>
      <c r="F53" s="14" t="s">
        <v>456</v>
      </c>
      <c r="G53" s="5" t="s">
        <v>457</v>
      </c>
      <c r="H53" s="5" t="s">
        <v>462</v>
      </c>
      <c r="I53" s="5" t="s">
        <v>478</v>
      </c>
      <c r="J53" s="13" t="s">
        <v>363</v>
      </c>
      <c r="K53" s="5" t="s">
        <v>355</v>
      </c>
      <c r="L53" s="5" t="s">
        <v>355</v>
      </c>
      <c r="M53" s="5" t="s">
        <v>356</v>
      </c>
      <c r="N53" s="9"/>
    </row>
    <row r="54" ht="12" customHeight="1" spans="1:14">
      <c r="A54" s="13" t="s">
        <v>1778</v>
      </c>
      <c r="B54" s="5" t="s">
        <v>346</v>
      </c>
      <c r="C54" s="6" t="s">
        <v>1779</v>
      </c>
      <c r="D54" s="6" t="s">
        <v>1780</v>
      </c>
      <c r="E54" s="7" t="s">
        <v>1781</v>
      </c>
      <c r="F54" s="13" t="s">
        <v>1782</v>
      </c>
      <c r="G54" s="13" t="s">
        <v>436</v>
      </c>
      <c r="H54" s="13" t="s">
        <v>352</v>
      </c>
      <c r="I54" s="13" t="s">
        <v>478</v>
      </c>
      <c r="J54" s="13" t="s">
        <v>363</v>
      </c>
      <c r="K54" s="13" t="s">
        <v>355</v>
      </c>
      <c r="L54" s="13" t="s">
        <v>355</v>
      </c>
      <c r="M54" s="13" t="s">
        <v>356</v>
      </c>
      <c r="N54" s="60"/>
    </row>
    <row r="55" spans="1:14">
      <c r="A55" s="13"/>
      <c r="B55" s="5" t="s">
        <v>346</v>
      </c>
      <c r="C55" s="6" t="s">
        <v>1783</v>
      </c>
      <c r="D55" s="6" t="s">
        <v>1784</v>
      </c>
      <c r="E55" s="7"/>
      <c r="F55" s="13"/>
      <c r="G55" s="13"/>
      <c r="H55" s="13"/>
      <c r="I55" s="13"/>
      <c r="J55" s="13"/>
      <c r="K55" s="13"/>
      <c r="L55" s="13"/>
      <c r="M55" s="13"/>
      <c r="N55" s="60"/>
    </row>
    <row r="56" spans="1:14">
      <c r="A56" s="13"/>
      <c r="B56" s="5" t="s">
        <v>346</v>
      </c>
      <c r="C56" s="6" t="s">
        <v>1785</v>
      </c>
      <c r="D56" s="6" t="s">
        <v>1786</v>
      </c>
      <c r="E56" s="7"/>
      <c r="F56" s="13"/>
      <c r="G56" s="13"/>
      <c r="H56" s="13"/>
      <c r="I56" s="13"/>
      <c r="J56" s="13"/>
      <c r="K56" s="13"/>
      <c r="L56" s="13"/>
      <c r="M56" s="13"/>
      <c r="N56" s="60"/>
    </row>
    <row r="57" spans="1:14">
      <c r="A57" s="13"/>
      <c r="B57" s="5" t="s">
        <v>346</v>
      </c>
      <c r="C57" s="6" t="s">
        <v>1787</v>
      </c>
      <c r="D57" s="6" t="s">
        <v>1788</v>
      </c>
      <c r="E57" s="7"/>
      <c r="F57" s="13"/>
      <c r="G57" s="13"/>
      <c r="H57" s="13"/>
      <c r="I57" s="13"/>
      <c r="J57" s="13"/>
      <c r="K57" s="13"/>
      <c r="L57" s="13"/>
      <c r="M57" s="13"/>
      <c r="N57" s="60"/>
    </row>
    <row r="58" spans="1:14">
      <c r="A58" s="13"/>
      <c r="B58" s="5" t="s">
        <v>346</v>
      </c>
      <c r="C58" s="6" t="s">
        <v>1789</v>
      </c>
      <c r="D58" s="6" t="s">
        <v>1790</v>
      </c>
      <c r="E58" s="7"/>
      <c r="F58" s="13"/>
      <c r="G58" s="13"/>
      <c r="H58" s="13"/>
      <c r="I58" s="13"/>
      <c r="J58" s="13"/>
      <c r="K58" s="13"/>
      <c r="L58" s="13"/>
      <c r="M58" s="13"/>
      <c r="N58" s="60"/>
    </row>
    <row r="59" spans="1:14">
      <c r="A59" s="13"/>
      <c r="B59" s="5" t="s">
        <v>346</v>
      </c>
      <c r="C59" s="6" t="s">
        <v>1791</v>
      </c>
      <c r="D59" s="6" t="s">
        <v>1792</v>
      </c>
      <c r="E59" s="7"/>
      <c r="F59" s="13"/>
      <c r="G59" s="13"/>
      <c r="H59" s="13"/>
      <c r="I59" s="13"/>
      <c r="J59" s="13" t="s">
        <v>1408</v>
      </c>
      <c r="K59" s="13"/>
      <c r="L59" s="13"/>
      <c r="M59" s="13"/>
      <c r="N59" s="60"/>
    </row>
    <row r="60" spans="1:14">
      <c r="A60" s="13"/>
      <c r="B60" s="5" t="s">
        <v>346</v>
      </c>
      <c r="C60" s="6" t="s">
        <v>1793</v>
      </c>
      <c r="D60" s="6" t="s">
        <v>1794</v>
      </c>
      <c r="E60" s="7"/>
      <c r="F60" s="13"/>
      <c r="G60" s="13"/>
      <c r="H60" s="13"/>
      <c r="I60" s="13"/>
      <c r="J60" s="13"/>
      <c r="K60" s="13"/>
      <c r="L60" s="13"/>
      <c r="M60" s="13"/>
      <c r="N60" s="60"/>
    </row>
    <row r="61" spans="1:14">
      <c r="A61" s="13"/>
      <c r="B61" s="5" t="s">
        <v>346</v>
      </c>
      <c r="C61" s="6" t="s">
        <v>1795</v>
      </c>
      <c r="D61" s="6" t="s">
        <v>1796</v>
      </c>
      <c r="E61" s="7"/>
      <c r="F61" s="13"/>
      <c r="G61" s="13"/>
      <c r="H61" s="13"/>
      <c r="I61" s="13"/>
      <c r="J61" s="13"/>
      <c r="K61" s="13"/>
      <c r="L61" s="13"/>
      <c r="M61" s="13"/>
      <c r="N61" s="60"/>
    </row>
    <row r="62" spans="1:14">
      <c r="A62" s="13"/>
      <c r="B62" s="5" t="s">
        <v>346</v>
      </c>
      <c r="C62" s="6" t="s">
        <v>1797</v>
      </c>
      <c r="D62" s="6" t="s">
        <v>1798</v>
      </c>
      <c r="E62" s="7"/>
      <c r="F62" s="13"/>
      <c r="G62" s="13"/>
      <c r="H62" s="13"/>
      <c r="I62" s="13"/>
      <c r="J62" s="13"/>
      <c r="K62" s="13"/>
      <c r="L62" s="13"/>
      <c r="M62" s="13"/>
      <c r="N62" s="60"/>
    </row>
    <row r="63" spans="1:14">
      <c r="A63" s="13"/>
      <c r="B63" s="5" t="s">
        <v>373</v>
      </c>
      <c r="C63" s="6" t="s">
        <v>1799</v>
      </c>
      <c r="D63" s="6" t="s">
        <v>1800</v>
      </c>
      <c r="E63" s="7"/>
      <c r="F63" s="13"/>
      <c r="G63" s="13"/>
      <c r="H63" s="13"/>
      <c r="I63" s="13"/>
      <c r="J63" s="13" t="s">
        <v>363</v>
      </c>
      <c r="K63" s="13"/>
      <c r="L63" s="13"/>
      <c r="M63" s="13"/>
      <c r="N63" s="72" t="s">
        <v>1717</v>
      </c>
    </row>
    <row r="64" spans="1:14">
      <c r="A64" s="13"/>
      <c r="B64" s="5" t="s">
        <v>373</v>
      </c>
      <c r="C64" s="6" t="s">
        <v>1801</v>
      </c>
      <c r="D64" s="6" t="s">
        <v>1802</v>
      </c>
      <c r="E64" s="7"/>
      <c r="F64" s="13"/>
      <c r="G64" s="13"/>
      <c r="H64" s="13"/>
      <c r="I64" s="13"/>
      <c r="J64" s="13"/>
      <c r="K64" s="13"/>
      <c r="L64" s="13"/>
      <c r="M64" s="13"/>
      <c r="N64" s="86"/>
    </row>
    <row r="65" spans="1:14">
      <c r="A65" s="13"/>
      <c r="B65" s="5" t="s">
        <v>373</v>
      </c>
      <c r="C65" s="6" t="s">
        <v>1803</v>
      </c>
      <c r="D65" s="6" t="s">
        <v>1804</v>
      </c>
      <c r="E65" s="7"/>
      <c r="F65" s="13"/>
      <c r="G65" s="13"/>
      <c r="H65" s="13"/>
      <c r="I65" s="13"/>
      <c r="J65" s="13"/>
      <c r="K65" s="13"/>
      <c r="L65" s="13"/>
      <c r="M65" s="13"/>
      <c r="N65" s="86"/>
    </row>
    <row r="66" spans="1:14">
      <c r="A66" s="13"/>
      <c r="B66" s="5" t="s">
        <v>373</v>
      </c>
      <c r="C66" s="6" t="s">
        <v>1805</v>
      </c>
      <c r="D66" s="6" t="s">
        <v>1806</v>
      </c>
      <c r="E66" s="7"/>
      <c r="F66" s="13"/>
      <c r="G66" s="13"/>
      <c r="H66" s="13"/>
      <c r="I66" s="13"/>
      <c r="J66" s="13"/>
      <c r="K66" s="13"/>
      <c r="L66" s="13"/>
      <c r="M66" s="13"/>
      <c r="N66" s="86"/>
    </row>
    <row r="67" spans="1:14">
      <c r="A67" s="13"/>
      <c r="B67" s="5" t="s">
        <v>373</v>
      </c>
      <c r="C67" s="6" t="s">
        <v>1807</v>
      </c>
      <c r="D67" s="6" t="s">
        <v>1808</v>
      </c>
      <c r="E67" s="7"/>
      <c r="F67" s="13"/>
      <c r="G67" s="13"/>
      <c r="H67" s="13"/>
      <c r="I67" s="13"/>
      <c r="J67" s="13"/>
      <c r="K67" s="13"/>
      <c r="L67" s="13"/>
      <c r="M67" s="13"/>
      <c r="N67" s="96"/>
    </row>
    <row r="68" ht="78" spans="1:14">
      <c r="A68" s="5" t="s">
        <v>1809</v>
      </c>
      <c r="B68" s="87" t="s">
        <v>373</v>
      </c>
      <c r="C68" s="88" t="s">
        <v>1810</v>
      </c>
      <c r="D68" s="88" t="s">
        <v>1811</v>
      </c>
      <c r="E68" s="89" t="s">
        <v>1812</v>
      </c>
      <c r="F68" s="90" t="s">
        <v>1813</v>
      </c>
      <c r="G68" s="87" t="s">
        <v>392</v>
      </c>
      <c r="H68" s="87" t="s">
        <v>462</v>
      </c>
      <c r="I68" s="87" t="s">
        <v>478</v>
      </c>
      <c r="J68" s="88" t="s">
        <v>1408</v>
      </c>
      <c r="K68" s="89" t="s">
        <v>355</v>
      </c>
      <c r="L68" s="89" t="s">
        <v>355</v>
      </c>
      <c r="M68" s="5" t="s">
        <v>356</v>
      </c>
      <c r="N68" s="97" t="s">
        <v>1814</v>
      </c>
    </row>
    <row r="69" ht="78" spans="1:14">
      <c r="A69" s="5" t="s">
        <v>1815</v>
      </c>
      <c r="B69" s="87" t="s">
        <v>373</v>
      </c>
      <c r="C69" s="88" t="s">
        <v>1816</v>
      </c>
      <c r="D69" s="88" t="s">
        <v>1817</v>
      </c>
      <c r="E69" s="89" t="s">
        <v>1818</v>
      </c>
      <c r="F69" s="90" t="s">
        <v>1782</v>
      </c>
      <c r="G69" s="87" t="s">
        <v>392</v>
      </c>
      <c r="H69" s="87" t="s">
        <v>462</v>
      </c>
      <c r="I69" s="87" t="s">
        <v>478</v>
      </c>
      <c r="J69" s="88" t="s">
        <v>1408</v>
      </c>
      <c r="K69" s="89" t="s">
        <v>355</v>
      </c>
      <c r="L69" s="89" t="s">
        <v>355</v>
      </c>
      <c r="M69" s="5" t="s">
        <v>356</v>
      </c>
      <c r="N69" s="97" t="s">
        <v>1814</v>
      </c>
    </row>
    <row r="70" ht="91" spans="1:14">
      <c r="A70" s="5" t="s">
        <v>1819</v>
      </c>
      <c r="B70" s="91" t="s">
        <v>373</v>
      </c>
      <c r="C70" s="92" t="s">
        <v>1820</v>
      </c>
      <c r="D70" s="92" t="s">
        <v>1821</v>
      </c>
      <c r="E70" s="93" t="s">
        <v>1822</v>
      </c>
      <c r="F70" s="91" t="s">
        <v>456</v>
      </c>
      <c r="G70" s="91" t="s">
        <v>392</v>
      </c>
      <c r="H70" s="87" t="s">
        <v>462</v>
      </c>
      <c r="I70" s="87" t="s">
        <v>478</v>
      </c>
      <c r="J70" s="88" t="s">
        <v>1408</v>
      </c>
      <c r="K70" s="93" t="s">
        <v>355</v>
      </c>
      <c r="L70" s="93" t="s">
        <v>355</v>
      </c>
      <c r="M70" s="5" t="s">
        <v>356</v>
      </c>
      <c r="N70" s="97" t="s">
        <v>1814</v>
      </c>
    </row>
    <row r="71" ht="91" spans="1:14">
      <c r="A71" s="5" t="s">
        <v>1823</v>
      </c>
      <c r="B71" s="91" t="s">
        <v>373</v>
      </c>
      <c r="C71" s="92" t="s">
        <v>1824</v>
      </c>
      <c r="D71" s="92" t="s">
        <v>1825</v>
      </c>
      <c r="E71" s="93" t="s">
        <v>1826</v>
      </c>
      <c r="F71" s="91" t="s">
        <v>456</v>
      </c>
      <c r="G71" s="91" t="s">
        <v>392</v>
      </c>
      <c r="H71" s="87" t="s">
        <v>462</v>
      </c>
      <c r="I71" s="87" t="s">
        <v>478</v>
      </c>
      <c r="J71" s="88" t="s">
        <v>1408</v>
      </c>
      <c r="K71" s="93" t="s">
        <v>355</v>
      </c>
      <c r="L71" s="93" t="s">
        <v>355</v>
      </c>
      <c r="M71" s="5" t="s">
        <v>356</v>
      </c>
      <c r="N71" s="97" t="s">
        <v>1814</v>
      </c>
    </row>
    <row r="72" ht="91" spans="1:14">
      <c r="A72" s="5" t="s">
        <v>1827</v>
      </c>
      <c r="B72" s="5" t="s">
        <v>373</v>
      </c>
      <c r="C72" s="6" t="s">
        <v>1828</v>
      </c>
      <c r="D72" s="6" t="s">
        <v>1829</v>
      </c>
      <c r="E72" s="63" t="s">
        <v>1830</v>
      </c>
      <c r="F72" s="5" t="s">
        <v>456</v>
      </c>
      <c r="G72" s="91" t="s">
        <v>392</v>
      </c>
      <c r="H72" s="87" t="s">
        <v>462</v>
      </c>
      <c r="I72" s="87" t="s">
        <v>478</v>
      </c>
      <c r="J72" s="88" t="s">
        <v>1408</v>
      </c>
      <c r="K72" s="63" t="s">
        <v>355</v>
      </c>
      <c r="L72" s="63" t="s">
        <v>355</v>
      </c>
      <c r="M72" s="5" t="s">
        <v>356</v>
      </c>
      <c r="N72" s="97" t="s">
        <v>1814</v>
      </c>
    </row>
    <row r="73" ht="91" spans="1:14">
      <c r="A73" s="5" t="s">
        <v>1831</v>
      </c>
      <c r="B73" s="5" t="s">
        <v>373</v>
      </c>
      <c r="C73" s="6" t="s">
        <v>1832</v>
      </c>
      <c r="D73" s="6" t="s">
        <v>1833</v>
      </c>
      <c r="E73" s="63" t="s">
        <v>1834</v>
      </c>
      <c r="F73" s="5" t="s">
        <v>456</v>
      </c>
      <c r="G73" s="91" t="s">
        <v>392</v>
      </c>
      <c r="H73" s="87" t="s">
        <v>462</v>
      </c>
      <c r="I73" s="87" t="s">
        <v>478</v>
      </c>
      <c r="J73" s="88" t="s">
        <v>1408</v>
      </c>
      <c r="K73" s="63" t="s">
        <v>355</v>
      </c>
      <c r="L73" s="63" t="s">
        <v>355</v>
      </c>
      <c r="M73" s="5" t="s">
        <v>356</v>
      </c>
      <c r="N73" s="97" t="s">
        <v>1814</v>
      </c>
    </row>
    <row r="74" ht="78" spans="1:14">
      <c r="A74" s="5" t="s">
        <v>1835</v>
      </c>
      <c r="B74" s="5" t="s">
        <v>373</v>
      </c>
      <c r="C74" s="6" t="s">
        <v>1836</v>
      </c>
      <c r="D74" s="6" t="s">
        <v>1837</v>
      </c>
      <c r="E74" s="63" t="s">
        <v>1838</v>
      </c>
      <c r="F74" s="5" t="s">
        <v>456</v>
      </c>
      <c r="G74" s="91" t="s">
        <v>392</v>
      </c>
      <c r="H74" s="87" t="s">
        <v>535</v>
      </c>
      <c r="I74" s="87" t="s">
        <v>1265</v>
      </c>
      <c r="J74" s="88" t="s">
        <v>1408</v>
      </c>
      <c r="K74" s="63" t="s">
        <v>355</v>
      </c>
      <c r="L74" s="63" t="s">
        <v>355</v>
      </c>
      <c r="M74" s="5" t="s">
        <v>356</v>
      </c>
      <c r="N74" s="70" t="s">
        <v>1839</v>
      </c>
    </row>
    <row r="75" ht="78" spans="1:14">
      <c r="A75" s="5" t="s">
        <v>1840</v>
      </c>
      <c r="B75" s="5" t="s">
        <v>373</v>
      </c>
      <c r="C75" s="6" t="s">
        <v>1841</v>
      </c>
      <c r="D75" s="6" t="s">
        <v>1842</v>
      </c>
      <c r="E75" s="63" t="s">
        <v>1843</v>
      </c>
      <c r="F75" s="5" t="s">
        <v>456</v>
      </c>
      <c r="G75" s="91" t="s">
        <v>392</v>
      </c>
      <c r="H75" s="87" t="s">
        <v>535</v>
      </c>
      <c r="I75" s="87" t="s">
        <v>1265</v>
      </c>
      <c r="J75" s="88" t="s">
        <v>1408</v>
      </c>
      <c r="K75" s="63" t="s">
        <v>355</v>
      </c>
      <c r="L75" s="63" t="s">
        <v>355</v>
      </c>
      <c r="M75" s="5" t="s">
        <v>356</v>
      </c>
      <c r="N75" s="70" t="s">
        <v>1839</v>
      </c>
    </row>
    <row r="76" ht="39" spans="1:14">
      <c r="A76" s="5" t="s">
        <v>1844</v>
      </c>
      <c r="B76" s="5" t="s">
        <v>346</v>
      </c>
      <c r="C76" s="94" t="s">
        <v>1845</v>
      </c>
      <c r="D76" s="6" t="s">
        <v>1846</v>
      </c>
      <c r="E76" s="63" t="s">
        <v>1847</v>
      </c>
      <c r="F76" s="5" t="s">
        <v>456</v>
      </c>
      <c r="G76" s="91" t="s">
        <v>436</v>
      </c>
      <c r="H76" s="87" t="s">
        <v>370</v>
      </c>
      <c r="I76" s="87" t="s">
        <v>1265</v>
      </c>
      <c r="J76" s="88" t="s">
        <v>372</v>
      </c>
      <c r="K76" s="63" t="s">
        <v>355</v>
      </c>
      <c r="L76" s="63" t="s">
        <v>355</v>
      </c>
      <c r="M76" s="5" t="s">
        <v>356</v>
      </c>
      <c r="N76" s="63" t="s">
        <v>1266</v>
      </c>
    </row>
    <row r="77" ht="52" spans="1:14">
      <c r="A77" s="5" t="s">
        <v>1848</v>
      </c>
      <c r="B77" s="5" t="s">
        <v>346</v>
      </c>
      <c r="C77" s="94" t="s">
        <v>1849</v>
      </c>
      <c r="D77" s="6" t="s">
        <v>1850</v>
      </c>
      <c r="E77" s="63" t="s">
        <v>1851</v>
      </c>
      <c r="F77" s="5" t="s">
        <v>456</v>
      </c>
      <c r="G77" s="91" t="s">
        <v>436</v>
      </c>
      <c r="H77" s="87" t="s">
        <v>370</v>
      </c>
      <c r="I77" s="87" t="s">
        <v>1265</v>
      </c>
      <c r="J77" s="88" t="s">
        <v>372</v>
      </c>
      <c r="K77" s="63" t="s">
        <v>355</v>
      </c>
      <c r="L77" s="63" t="s">
        <v>355</v>
      </c>
      <c r="M77" s="5" t="s">
        <v>356</v>
      </c>
      <c r="N77" s="63" t="s">
        <v>1266</v>
      </c>
    </row>
    <row r="78" ht="39" spans="1:14">
      <c r="A78" s="5" t="s">
        <v>1852</v>
      </c>
      <c r="B78" s="5" t="s">
        <v>346</v>
      </c>
      <c r="C78" s="94" t="s">
        <v>1853</v>
      </c>
      <c r="D78" s="6" t="s">
        <v>1854</v>
      </c>
      <c r="E78" s="63" t="s">
        <v>1855</v>
      </c>
      <c r="F78" s="5" t="s">
        <v>1856</v>
      </c>
      <c r="G78" s="91" t="s">
        <v>436</v>
      </c>
      <c r="H78" s="87" t="s">
        <v>370</v>
      </c>
      <c r="I78" s="87" t="s">
        <v>1265</v>
      </c>
      <c r="J78" s="88" t="s">
        <v>372</v>
      </c>
      <c r="K78" s="63" t="s">
        <v>355</v>
      </c>
      <c r="L78" s="63" t="s">
        <v>355</v>
      </c>
      <c r="M78" s="5" t="s">
        <v>356</v>
      </c>
      <c r="N78" s="63" t="s">
        <v>1266</v>
      </c>
    </row>
    <row r="79" ht="52" spans="1:14">
      <c r="A79" s="5" t="s">
        <v>1857</v>
      </c>
      <c r="B79" s="5" t="s">
        <v>346</v>
      </c>
      <c r="C79" s="94" t="s">
        <v>1858</v>
      </c>
      <c r="D79" s="6" t="s">
        <v>1859</v>
      </c>
      <c r="E79" s="63" t="s">
        <v>1860</v>
      </c>
      <c r="F79" s="5" t="s">
        <v>1856</v>
      </c>
      <c r="G79" s="91" t="s">
        <v>436</v>
      </c>
      <c r="H79" s="87" t="s">
        <v>370</v>
      </c>
      <c r="I79" s="87" t="s">
        <v>1265</v>
      </c>
      <c r="J79" s="88" t="s">
        <v>372</v>
      </c>
      <c r="K79" s="63" t="s">
        <v>355</v>
      </c>
      <c r="L79" s="63" t="s">
        <v>355</v>
      </c>
      <c r="M79" s="5" t="s">
        <v>356</v>
      </c>
      <c r="N79" s="63" t="s">
        <v>1266</v>
      </c>
    </row>
    <row r="80" ht="39" spans="1:14">
      <c r="A80" s="5" t="s">
        <v>1861</v>
      </c>
      <c r="B80" s="5" t="s">
        <v>346</v>
      </c>
      <c r="C80" s="94" t="s">
        <v>1862</v>
      </c>
      <c r="D80" s="95" t="s">
        <v>1863</v>
      </c>
      <c r="E80" s="63" t="s">
        <v>1864</v>
      </c>
      <c r="F80" s="5" t="s">
        <v>1856</v>
      </c>
      <c r="G80" s="91" t="s">
        <v>436</v>
      </c>
      <c r="H80" s="87" t="s">
        <v>370</v>
      </c>
      <c r="I80" s="87" t="s">
        <v>1265</v>
      </c>
      <c r="J80" s="88" t="s">
        <v>372</v>
      </c>
      <c r="K80" s="63" t="s">
        <v>355</v>
      </c>
      <c r="L80" s="63" t="s">
        <v>355</v>
      </c>
      <c r="M80" s="5" t="s">
        <v>356</v>
      </c>
      <c r="N80" s="63" t="s">
        <v>1266</v>
      </c>
    </row>
    <row r="81" ht="52" spans="1:14">
      <c r="A81" s="5" t="s">
        <v>1865</v>
      </c>
      <c r="B81" s="5" t="s">
        <v>346</v>
      </c>
      <c r="C81" s="94" t="s">
        <v>1866</v>
      </c>
      <c r="D81" s="6" t="s">
        <v>1867</v>
      </c>
      <c r="E81" s="63" t="s">
        <v>1860</v>
      </c>
      <c r="F81" s="5" t="s">
        <v>1856</v>
      </c>
      <c r="G81" s="91" t="s">
        <v>436</v>
      </c>
      <c r="H81" s="87" t="s">
        <v>370</v>
      </c>
      <c r="I81" s="87" t="s">
        <v>1265</v>
      </c>
      <c r="J81" s="88" t="s">
        <v>372</v>
      </c>
      <c r="K81" s="63" t="s">
        <v>355</v>
      </c>
      <c r="L81" s="63" t="s">
        <v>355</v>
      </c>
      <c r="M81" s="5" t="s">
        <v>356</v>
      </c>
      <c r="N81" s="63" t="s">
        <v>1266</v>
      </c>
    </row>
  </sheetData>
  <mergeCells count="77">
    <mergeCell ref="A2:A5"/>
    <mergeCell ref="A6:A10"/>
    <mergeCell ref="A11:A17"/>
    <mergeCell ref="A19:A33"/>
    <mergeCell ref="A34:A39"/>
    <mergeCell ref="A40:A48"/>
    <mergeCell ref="A54:A67"/>
    <mergeCell ref="E2:E5"/>
    <mergeCell ref="E6:E10"/>
    <mergeCell ref="E11:E17"/>
    <mergeCell ref="E19:E33"/>
    <mergeCell ref="E34:E39"/>
    <mergeCell ref="E40:E48"/>
    <mergeCell ref="E54:E67"/>
    <mergeCell ref="F2:F5"/>
    <mergeCell ref="F6:F10"/>
    <mergeCell ref="F11:F17"/>
    <mergeCell ref="F19:F33"/>
    <mergeCell ref="F34:F39"/>
    <mergeCell ref="F40:F48"/>
    <mergeCell ref="F54:F67"/>
    <mergeCell ref="G2:G5"/>
    <mergeCell ref="G6:G10"/>
    <mergeCell ref="G11:G17"/>
    <mergeCell ref="G19:G33"/>
    <mergeCell ref="G34:G39"/>
    <mergeCell ref="G40:G48"/>
    <mergeCell ref="G54:G67"/>
    <mergeCell ref="H2:H5"/>
    <mergeCell ref="H6:H10"/>
    <mergeCell ref="H11:H17"/>
    <mergeCell ref="H19:H33"/>
    <mergeCell ref="H34:H39"/>
    <mergeCell ref="H40:H48"/>
    <mergeCell ref="H54:H67"/>
    <mergeCell ref="I2:I5"/>
    <mergeCell ref="I6:I10"/>
    <mergeCell ref="I11:I17"/>
    <mergeCell ref="I19:I33"/>
    <mergeCell ref="I34:I39"/>
    <mergeCell ref="I40:I48"/>
    <mergeCell ref="I54:I67"/>
    <mergeCell ref="J2:J5"/>
    <mergeCell ref="J6:J10"/>
    <mergeCell ref="J11:J17"/>
    <mergeCell ref="J19:J28"/>
    <mergeCell ref="J29:J32"/>
    <mergeCell ref="J34:J39"/>
    <mergeCell ref="J40:J48"/>
    <mergeCell ref="J54:J58"/>
    <mergeCell ref="J59:J62"/>
    <mergeCell ref="J63:J67"/>
    <mergeCell ref="K2:K5"/>
    <mergeCell ref="K6:K10"/>
    <mergeCell ref="K11:K17"/>
    <mergeCell ref="K19:K33"/>
    <mergeCell ref="K34:K39"/>
    <mergeCell ref="K40:K48"/>
    <mergeCell ref="K54:K67"/>
    <mergeCell ref="L2:L5"/>
    <mergeCell ref="L6:L10"/>
    <mergeCell ref="L11:L17"/>
    <mergeCell ref="L19:L33"/>
    <mergeCell ref="L34:L39"/>
    <mergeCell ref="L40:L48"/>
    <mergeCell ref="L54:L67"/>
    <mergeCell ref="M2:M5"/>
    <mergeCell ref="M6:M10"/>
    <mergeCell ref="M11:M17"/>
    <mergeCell ref="M19:M33"/>
    <mergeCell ref="M34:M39"/>
    <mergeCell ref="M40:M48"/>
    <mergeCell ref="M54:M67"/>
    <mergeCell ref="N6:N10"/>
    <mergeCell ref="N11:N17"/>
    <mergeCell ref="N50:N51"/>
    <mergeCell ref="N63:N67"/>
  </mergeCells>
  <pageMargins left="0.699305555555556" right="0.699305555555556" top="0.75" bottom="0.75" header="0.3" footer="0.3"/>
  <pageSetup paperSize="9" orientation="portrait" horizontalDpi="1200" verticalDpi="1200"/>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N20"/>
  <sheetViews>
    <sheetView topLeftCell="A13" workbookViewId="0">
      <selection activeCell="E18" sqref="E18"/>
    </sheetView>
  </sheetViews>
  <sheetFormatPr defaultColWidth="9" defaultRowHeight="13"/>
  <cols>
    <col min="3" max="3" width="13.86" customWidth="1"/>
    <col min="4" max="4" width="20.57" customWidth="1"/>
    <col min="5" max="5" width="53.43" customWidth="1"/>
    <col min="6" max="6" width="21.71" customWidth="1"/>
    <col min="8" max="8" width="9.64" customWidth="1"/>
    <col min="10" max="10" width="15" customWidth="1"/>
    <col min="13" max="13" width="9.64" customWidth="1"/>
    <col min="14" max="14" width="28.14" customWidth="1"/>
  </cols>
  <sheetData>
    <row r="1" s="1" customFormat="1" spans="1:14">
      <c r="A1" s="4" t="s">
        <v>332</v>
      </c>
      <c r="B1" s="4" t="s">
        <v>333</v>
      </c>
      <c r="C1" s="4" t="s">
        <v>334</v>
      </c>
      <c r="D1" s="4" t="s">
        <v>335</v>
      </c>
      <c r="E1" s="4" t="s">
        <v>336</v>
      </c>
      <c r="F1" s="4" t="s">
        <v>337</v>
      </c>
      <c r="G1" s="4" t="s">
        <v>338</v>
      </c>
      <c r="H1" s="4" t="s">
        <v>339</v>
      </c>
      <c r="I1" s="4" t="s">
        <v>340</v>
      </c>
      <c r="J1" s="4" t="s">
        <v>341</v>
      </c>
      <c r="K1" s="4" t="s">
        <v>342</v>
      </c>
      <c r="L1" s="4" t="s">
        <v>343</v>
      </c>
      <c r="M1" s="4" t="s">
        <v>344</v>
      </c>
      <c r="N1" s="4" t="s">
        <v>235</v>
      </c>
    </row>
    <row r="2" ht="52" spans="1:14">
      <c r="A2" s="20" t="s">
        <v>1868</v>
      </c>
      <c r="B2" s="20" t="s">
        <v>346</v>
      </c>
      <c r="C2" s="60" t="s">
        <v>1869</v>
      </c>
      <c r="D2" s="60" t="s">
        <v>1870</v>
      </c>
      <c r="E2" s="63" t="s">
        <v>1871</v>
      </c>
      <c r="F2" s="60" t="s">
        <v>1872</v>
      </c>
      <c r="G2" s="20" t="s">
        <v>436</v>
      </c>
      <c r="H2" s="20" t="s">
        <v>462</v>
      </c>
      <c r="I2" s="20" t="s">
        <v>478</v>
      </c>
      <c r="J2" s="63" t="s">
        <v>363</v>
      </c>
      <c r="K2" s="60" t="s">
        <v>523</v>
      </c>
      <c r="L2" s="60" t="s">
        <v>523</v>
      </c>
      <c r="M2" s="60" t="s">
        <v>356</v>
      </c>
      <c r="N2" s="60"/>
    </row>
    <row r="3" ht="52" spans="1:14">
      <c r="A3" s="20" t="s">
        <v>1873</v>
      </c>
      <c r="B3" s="20" t="s">
        <v>346</v>
      </c>
      <c r="C3" s="60" t="s">
        <v>1874</v>
      </c>
      <c r="D3" s="60" t="s">
        <v>1875</v>
      </c>
      <c r="E3" s="63" t="s">
        <v>1876</v>
      </c>
      <c r="F3" s="60" t="s">
        <v>1872</v>
      </c>
      <c r="G3" s="20" t="s">
        <v>436</v>
      </c>
      <c r="H3" s="20" t="s">
        <v>462</v>
      </c>
      <c r="I3" s="20" t="s">
        <v>478</v>
      </c>
      <c r="J3" s="63" t="s">
        <v>363</v>
      </c>
      <c r="K3" s="60" t="s">
        <v>523</v>
      </c>
      <c r="L3" s="60" t="s">
        <v>523</v>
      </c>
      <c r="M3" s="60" t="s">
        <v>356</v>
      </c>
      <c r="N3" s="60"/>
    </row>
    <row r="4" ht="52" spans="1:14">
      <c r="A4" s="20" t="s">
        <v>1877</v>
      </c>
      <c r="B4" s="20" t="s">
        <v>346</v>
      </c>
      <c r="C4" s="60" t="s">
        <v>1878</v>
      </c>
      <c r="D4" s="60" t="s">
        <v>1879</v>
      </c>
      <c r="E4" s="63" t="s">
        <v>1880</v>
      </c>
      <c r="F4" s="60" t="s">
        <v>1872</v>
      </c>
      <c r="G4" s="20" t="s">
        <v>436</v>
      </c>
      <c r="H4" s="20" t="s">
        <v>462</v>
      </c>
      <c r="I4" s="20" t="s">
        <v>478</v>
      </c>
      <c r="J4" s="63" t="s">
        <v>363</v>
      </c>
      <c r="K4" s="60" t="s">
        <v>523</v>
      </c>
      <c r="L4" s="60" t="s">
        <v>523</v>
      </c>
      <c r="M4" s="60" t="s">
        <v>356</v>
      </c>
      <c r="N4" s="60"/>
    </row>
    <row r="5" ht="52" spans="1:14">
      <c r="A5" s="20" t="s">
        <v>1881</v>
      </c>
      <c r="B5" s="20" t="s">
        <v>346</v>
      </c>
      <c r="C5" s="60" t="s">
        <v>1882</v>
      </c>
      <c r="D5" s="60" t="s">
        <v>1883</v>
      </c>
      <c r="E5" s="63" t="s">
        <v>1884</v>
      </c>
      <c r="F5" s="60" t="s">
        <v>1872</v>
      </c>
      <c r="G5" s="20" t="s">
        <v>436</v>
      </c>
      <c r="H5" s="20" t="s">
        <v>462</v>
      </c>
      <c r="I5" s="20" t="s">
        <v>478</v>
      </c>
      <c r="J5" s="63" t="s">
        <v>363</v>
      </c>
      <c r="K5" s="60" t="s">
        <v>523</v>
      </c>
      <c r="L5" s="60" t="s">
        <v>523</v>
      </c>
      <c r="M5" s="60" t="s">
        <v>356</v>
      </c>
      <c r="N5" s="60"/>
    </row>
    <row r="6" ht="52" spans="1:14">
      <c r="A6" s="20" t="s">
        <v>1885</v>
      </c>
      <c r="B6" s="20" t="s">
        <v>346</v>
      </c>
      <c r="C6" s="60" t="s">
        <v>1886</v>
      </c>
      <c r="D6" s="60" t="s">
        <v>1887</v>
      </c>
      <c r="E6" s="63" t="s">
        <v>1888</v>
      </c>
      <c r="F6" s="60" t="s">
        <v>1872</v>
      </c>
      <c r="G6" s="20" t="s">
        <v>436</v>
      </c>
      <c r="H6" s="20" t="s">
        <v>462</v>
      </c>
      <c r="I6" s="20" t="s">
        <v>478</v>
      </c>
      <c r="J6" s="63" t="s">
        <v>363</v>
      </c>
      <c r="K6" s="60" t="s">
        <v>523</v>
      </c>
      <c r="L6" s="60" t="s">
        <v>523</v>
      </c>
      <c r="M6" s="60" t="s">
        <v>356</v>
      </c>
      <c r="N6" s="60"/>
    </row>
    <row r="7" ht="52" spans="1:14">
      <c r="A7" s="20" t="s">
        <v>1889</v>
      </c>
      <c r="B7" s="20" t="s">
        <v>346</v>
      </c>
      <c r="C7" s="60" t="s">
        <v>1890</v>
      </c>
      <c r="D7" s="60" t="s">
        <v>1891</v>
      </c>
      <c r="E7" s="63" t="s">
        <v>1892</v>
      </c>
      <c r="F7" s="60" t="s">
        <v>1872</v>
      </c>
      <c r="G7" s="20" t="s">
        <v>436</v>
      </c>
      <c r="H7" s="20" t="s">
        <v>462</v>
      </c>
      <c r="I7" s="20" t="s">
        <v>478</v>
      </c>
      <c r="J7" s="63" t="s">
        <v>363</v>
      </c>
      <c r="K7" s="60" t="s">
        <v>523</v>
      </c>
      <c r="L7" s="60" t="s">
        <v>523</v>
      </c>
      <c r="M7" s="60" t="s">
        <v>356</v>
      </c>
      <c r="N7" s="60"/>
    </row>
    <row r="8" ht="52" spans="1:14">
      <c r="A8" s="20" t="s">
        <v>1893</v>
      </c>
      <c r="B8" s="20" t="s">
        <v>346</v>
      </c>
      <c r="C8" s="60" t="s">
        <v>1894</v>
      </c>
      <c r="D8" s="60" t="s">
        <v>1895</v>
      </c>
      <c r="E8" s="63" t="s">
        <v>1896</v>
      </c>
      <c r="F8" s="60" t="s">
        <v>1872</v>
      </c>
      <c r="G8" s="20" t="s">
        <v>436</v>
      </c>
      <c r="H8" s="20" t="s">
        <v>462</v>
      </c>
      <c r="I8" s="20" t="s">
        <v>478</v>
      </c>
      <c r="J8" s="63" t="s">
        <v>363</v>
      </c>
      <c r="K8" s="60" t="s">
        <v>523</v>
      </c>
      <c r="L8" s="60" t="s">
        <v>523</v>
      </c>
      <c r="M8" s="60" t="s">
        <v>356</v>
      </c>
      <c r="N8" s="60"/>
    </row>
    <row r="9" ht="52" spans="1:14">
      <c r="A9" s="20" t="s">
        <v>1897</v>
      </c>
      <c r="B9" s="20" t="s">
        <v>346</v>
      </c>
      <c r="C9" s="60" t="s">
        <v>1898</v>
      </c>
      <c r="D9" s="60" t="s">
        <v>1899</v>
      </c>
      <c r="E9" s="63" t="s">
        <v>1900</v>
      </c>
      <c r="F9" s="60" t="s">
        <v>1872</v>
      </c>
      <c r="G9" s="20" t="s">
        <v>436</v>
      </c>
      <c r="H9" s="20" t="s">
        <v>462</v>
      </c>
      <c r="I9" s="20" t="s">
        <v>478</v>
      </c>
      <c r="J9" s="63" t="s">
        <v>363</v>
      </c>
      <c r="K9" s="60" t="s">
        <v>523</v>
      </c>
      <c r="L9" s="60" t="s">
        <v>523</v>
      </c>
      <c r="M9" s="60" t="s">
        <v>356</v>
      </c>
      <c r="N9" s="60"/>
    </row>
    <row r="10" ht="52" spans="1:14">
      <c r="A10" s="20" t="s">
        <v>1901</v>
      </c>
      <c r="B10" s="20" t="s">
        <v>346</v>
      </c>
      <c r="C10" s="60" t="s">
        <v>1902</v>
      </c>
      <c r="D10" s="60" t="s">
        <v>1903</v>
      </c>
      <c r="E10" s="63" t="s">
        <v>1904</v>
      </c>
      <c r="F10" s="60" t="s">
        <v>1872</v>
      </c>
      <c r="G10" s="20" t="s">
        <v>436</v>
      </c>
      <c r="H10" s="20" t="s">
        <v>462</v>
      </c>
      <c r="I10" s="20" t="s">
        <v>478</v>
      </c>
      <c r="J10" s="63" t="s">
        <v>363</v>
      </c>
      <c r="K10" s="60" t="s">
        <v>523</v>
      </c>
      <c r="L10" s="60" t="s">
        <v>523</v>
      </c>
      <c r="M10" s="60" t="s">
        <v>356</v>
      </c>
      <c r="N10" s="60"/>
    </row>
    <row r="11" ht="52" spans="1:14">
      <c r="A11" s="20" t="s">
        <v>1905</v>
      </c>
      <c r="B11" s="20" t="s">
        <v>346</v>
      </c>
      <c r="C11" s="60" t="s">
        <v>1906</v>
      </c>
      <c r="D11" s="60" t="s">
        <v>1907</v>
      </c>
      <c r="E11" s="63" t="s">
        <v>1908</v>
      </c>
      <c r="F11" s="60" t="s">
        <v>1872</v>
      </c>
      <c r="G11" s="20" t="s">
        <v>436</v>
      </c>
      <c r="H11" s="20" t="s">
        <v>462</v>
      </c>
      <c r="I11" s="20" t="s">
        <v>478</v>
      </c>
      <c r="J11" s="63" t="s">
        <v>363</v>
      </c>
      <c r="K11" s="60" t="s">
        <v>523</v>
      </c>
      <c r="L11" s="60" t="s">
        <v>523</v>
      </c>
      <c r="M11" s="60" t="s">
        <v>356</v>
      </c>
      <c r="N11" s="60"/>
    </row>
    <row r="12" ht="52" spans="1:14">
      <c r="A12" s="20" t="s">
        <v>1909</v>
      </c>
      <c r="B12" s="20" t="s">
        <v>346</v>
      </c>
      <c r="C12" s="60" t="s">
        <v>1910</v>
      </c>
      <c r="D12" s="60" t="s">
        <v>1911</v>
      </c>
      <c r="E12" s="63" t="s">
        <v>1912</v>
      </c>
      <c r="F12" s="60" t="s">
        <v>1872</v>
      </c>
      <c r="G12" s="20" t="s">
        <v>436</v>
      </c>
      <c r="H12" s="20" t="s">
        <v>462</v>
      </c>
      <c r="I12" s="20" t="s">
        <v>478</v>
      </c>
      <c r="J12" s="63" t="s">
        <v>363</v>
      </c>
      <c r="K12" s="60" t="s">
        <v>523</v>
      </c>
      <c r="L12" s="60" t="s">
        <v>523</v>
      </c>
      <c r="M12" s="60" t="s">
        <v>356</v>
      </c>
      <c r="N12" s="60"/>
    </row>
    <row r="13" ht="52" spans="1:14">
      <c r="A13" s="20" t="s">
        <v>1913</v>
      </c>
      <c r="B13" s="20" t="s">
        <v>346</v>
      </c>
      <c r="C13" s="60" t="s">
        <v>1914</v>
      </c>
      <c r="D13" s="60" t="s">
        <v>1915</v>
      </c>
      <c r="E13" s="63" t="s">
        <v>1916</v>
      </c>
      <c r="F13" s="60" t="s">
        <v>1872</v>
      </c>
      <c r="G13" s="20" t="s">
        <v>436</v>
      </c>
      <c r="H13" s="20" t="s">
        <v>462</v>
      </c>
      <c r="I13" s="20" t="s">
        <v>478</v>
      </c>
      <c r="J13" s="63" t="s">
        <v>363</v>
      </c>
      <c r="K13" s="60" t="s">
        <v>523</v>
      </c>
      <c r="L13" s="60" t="s">
        <v>523</v>
      </c>
      <c r="M13" s="60" t="s">
        <v>356</v>
      </c>
      <c r="N13" s="60"/>
    </row>
    <row r="14" ht="52" spans="1:14">
      <c r="A14" s="20" t="s">
        <v>1917</v>
      </c>
      <c r="B14" s="20" t="s">
        <v>346</v>
      </c>
      <c r="C14" s="60" t="s">
        <v>1918</v>
      </c>
      <c r="D14" s="60" t="s">
        <v>1919</v>
      </c>
      <c r="E14" s="63" t="s">
        <v>1920</v>
      </c>
      <c r="F14" s="60" t="s">
        <v>1872</v>
      </c>
      <c r="G14" s="20" t="s">
        <v>436</v>
      </c>
      <c r="H14" s="20" t="s">
        <v>462</v>
      </c>
      <c r="I14" s="20" t="s">
        <v>478</v>
      </c>
      <c r="J14" s="63" t="s">
        <v>363</v>
      </c>
      <c r="K14" s="60" t="s">
        <v>523</v>
      </c>
      <c r="L14" s="60" t="s">
        <v>523</v>
      </c>
      <c r="M14" s="60" t="s">
        <v>356</v>
      </c>
      <c r="N14" s="60"/>
    </row>
    <row r="15" ht="52" spans="1:14">
      <c r="A15" s="20" t="s">
        <v>1921</v>
      </c>
      <c r="B15" s="20" t="s">
        <v>346</v>
      </c>
      <c r="C15" s="60" t="s">
        <v>1922</v>
      </c>
      <c r="D15" s="60" t="s">
        <v>1923</v>
      </c>
      <c r="E15" s="63" t="s">
        <v>1924</v>
      </c>
      <c r="F15" s="60" t="s">
        <v>1872</v>
      </c>
      <c r="G15" s="20" t="s">
        <v>436</v>
      </c>
      <c r="H15" s="20" t="s">
        <v>462</v>
      </c>
      <c r="I15" s="20" t="s">
        <v>478</v>
      </c>
      <c r="J15" s="63" t="s">
        <v>363</v>
      </c>
      <c r="K15" s="60" t="s">
        <v>523</v>
      </c>
      <c r="L15" s="60" t="s">
        <v>523</v>
      </c>
      <c r="M15" s="60" t="s">
        <v>356</v>
      </c>
      <c r="N15" s="60"/>
    </row>
    <row r="16" ht="52" spans="1:14">
      <c r="A16" s="20" t="s">
        <v>1925</v>
      </c>
      <c r="B16" s="20" t="s">
        <v>346</v>
      </c>
      <c r="C16" s="60" t="s">
        <v>1926</v>
      </c>
      <c r="D16" s="60" t="s">
        <v>1927</v>
      </c>
      <c r="E16" s="63" t="s">
        <v>1928</v>
      </c>
      <c r="F16" s="60" t="s">
        <v>1872</v>
      </c>
      <c r="G16" s="20" t="s">
        <v>436</v>
      </c>
      <c r="H16" s="20" t="s">
        <v>462</v>
      </c>
      <c r="I16" s="20" t="s">
        <v>478</v>
      </c>
      <c r="J16" s="63" t="s">
        <v>363</v>
      </c>
      <c r="K16" s="60" t="s">
        <v>523</v>
      </c>
      <c r="L16" s="60" t="s">
        <v>523</v>
      </c>
      <c r="M16" s="60" t="s">
        <v>356</v>
      </c>
      <c r="N16" s="60"/>
    </row>
    <row r="17" ht="52" spans="1:14">
      <c r="A17" s="20" t="s">
        <v>1929</v>
      </c>
      <c r="B17" s="20" t="s">
        <v>346</v>
      </c>
      <c r="C17" s="60" t="s">
        <v>1930</v>
      </c>
      <c r="D17" s="60" t="s">
        <v>1931</v>
      </c>
      <c r="E17" s="63" t="s">
        <v>1932</v>
      </c>
      <c r="F17" s="60" t="s">
        <v>1872</v>
      </c>
      <c r="G17" s="20" t="s">
        <v>436</v>
      </c>
      <c r="H17" s="20" t="s">
        <v>462</v>
      </c>
      <c r="I17" s="20" t="s">
        <v>478</v>
      </c>
      <c r="J17" s="63" t="s">
        <v>363</v>
      </c>
      <c r="K17" s="60" t="s">
        <v>523</v>
      </c>
      <c r="L17" s="60" t="s">
        <v>523</v>
      </c>
      <c r="M17" s="60" t="s">
        <v>356</v>
      </c>
      <c r="N17" s="60"/>
    </row>
    <row r="18" s="61" customFormat="1" ht="65" spans="1:14">
      <c r="A18" s="64" t="s">
        <v>1933</v>
      </c>
      <c r="B18" s="64" t="s">
        <v>346</v>
      </c>
      <c r="C18" s="65" t="s">
        <v>1934</v>
      </c>
      <c r="D18" s="66" t="s">
        <v>1935</v>
      </c>
      <c r="E18" s="67" t="s">
        <v>1936</v>
      </c>
      <c r="F18" s="68" t="s">
        <v>456</v>
      </c>
      <c r="G18" s="64" t="s">
        <v>457</v>
      </c>
      <c r="H18" s="64" t="s">
        <v>370</v>
      </c>
      <c r="I18" s="78" t="s">
        <v>1937</v>
      </c>
      <c r="J18" s="66" t="s">
        <v>363</v>
      </c>
      <c r="K18" s="64" t="s">
        <v>355</v>
      </c>
      <c r="L18" s="64" t="s">
        <v>355</v>
      </c>
      <c r="M18" s="79" t="s">
        <v>356</v>
      </c>
      <c r="N18" s="66" t="s">
        <v>1938</v>
      </c>
    </row>
    <row r="19" ht="65" spans="1:14">
      <c r="A19" s="8" t="s">
        <v>1939</v>
      </c>
      <c r="B19" s="8" t="s">
        <v>346</v>
      </c>
      <c r="C19" s="69" t="s">
        <v>1940</v>
      </c>
      <c r="D19" s="70" t="s">
        <v>1941</v>
      </c>
      <c r="E19" s="71" t="s">
        <v>1942</v>
      </c>
      <c r="F19" s="72" t="s">
        <v>456</v>
      </c>
      <c r="G19" s="8" t="s">
        <v>457</v>
      </c>
      <c r="H19" s="8" t="s">
        <v>352</v>
      </c>
      <c r="I19" s="80" t="s">
        <v>1937</v>
      </c>
      <c r="J19" s="70" t="s">
        <v>363</v>
      </c>
      <c r="K19" s="8" t="s">
        <v>355</v>
      </c>
      <c r="L19" s="8" t="s">
        <v>355</v>
      </c>
      <c r="M19" s="81" t="s">
        <v>356</v>
      </c>
      <c r="N19" s="70" t="s">
        <v>1943</v>
      </c>
    </row>
    <row r="20" s="62" customFormat="1" ht="103.05" customHeight="1" spans="1:14">
      <c r="A20" s="73" t="s">
        <v>1944</v>
      </c>
      <c r="B20" s="74" t="s">
        <v>387</v>
      </c>
      <c r="C20" s="75" t="s">
        <v>1945</v>
      </c>
      <c r="D20" s="51" t="s">
        <v>1946</v>
      </c>
      <c r="E20" s="75" t="s">
        <v>1947</v>
      </c>
      <c r="F20" s="76" t="s">
        <v>1948</v>
      </c>
      <c r="G20" s="77" t="s">
        <v>457</v>
      </c>
      <c r="H20" s="77" t="s">
        <v>370</v>
      </c>
      <c r="I20" s="82" t="s">
        <v>1937</v>
      </c>
      <c r="J20" s="51" t="s">
        <v>363</v>
      </c>
      <c r="K20" s="77" t="s">
        <v>523</v>
      </c>
      <c r="L20" s="77" t="s">
        <v>523</v>
      </c>
      <c r="M20" s="83"/>
      <c r="N20" s="84"/>
    </row>
  </sheetData>
  <pageMargins left="0.699305555555556" right="0.699305555555556"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N3"/>
  <sheetViews>
    <sheetView topLeftCell="D1" workbookViewId="0">
      <selection activeCell="F16" sqref="F16"/>
    </sheetView>
  </sheetViews>
  <sheetFormatPr defaultColWidth="9" defaultRowHeight="13" outlineLevelRow="2"/>
  <cols>
    <col min="3" max="3" width="17.36" customWidth="1"/>
    <col min="4" max="4" width="20.57" customWidth="1"/>
    <col min="5" max="5" width="53.43" customWidth="1"/>
    <col min="6" max="6" width="11.43" customWidth="1"/>
    <col min="8" max="8" width="9.64" customWidth="1"/>
    <col min="10" max="10" width="15" customWidth="1"/>
    <col min="13" max="13" width="9.64" customWidth="1"/>
    <col min="14" max="14" width="5.64" customWidth="1"/>
  </cols>
  <sheetData>
    <row r="1" s="1" customFormat="1" spans="1:14">
      <c r="A1" s="4" t="s">
        <v>332</v>
      </c>
      <c r="B1" s="4" t="s">
        <v>333</v>
      </c>
      <c r="C1" s="4" t="s">
        <v>334</v>
      </c>
      <c r="D1" s="4" t="s">
        <v>335</v>
      </c>
      <c r="E1" s="4" t="s">
        <v>336</v>
      </c>
      <c r="F1" s="4" t="s">
        <v>337</v>
      </c>
      <c r="G1" s="4" t="s">
        <v>338</v>
      </c>
      <c r="H1" s="4" t="s">
        <v>339</v>
      </c>
      <c r="I1" s="4" t="s">
        <v>340</v>
      </c>
      <c r="J1" s="4" t="s">
        <v>341</v>
      </c>
      <c r="K1" s="4" t="s">
        <v>342</v>
      </c>
      <c r="L1" s="4" t="s">
        <v>343</v>
      </c>
      <c r="M1" s="4" t="s">
        <v>344</v>
      </c>
      <c r="N1" s="4" t="s">
        <v>235</v>
      </c>
    </row>
    <row r="2" ht="52" spans="1:14">
      <c r="A2" s="5" t="s">
        <v>1949</v>
      </c>
      <c r="B2" s="5" t="s">
        <v>346</v>
      </c>
      <c r="C2" s="14" t="s">
        <v>1950</v>
      </c>
      <c r="D2" s="14" t="s">
        <v>1951</v>
      </c>
      <c r="E2" s="9" t="s">
        <v>1952</v>
      </c>
      <c r="F2" s="13" t="s">
        <v>456</v>
      </c>
      <c r="G2" s="13" t="s">
        <v>457</v>
      </c>
      <c r="H2" s="5" t="s">
        <v>370</v>
      </c>
      <c r="I2" s="13" t="s">
        <v>1953</v>
      </c>
      <c r="J2" s="5" t="s">
        <v>1954</v>
      </c>
      <c r="K2" s="13" t="s">
        <v>523</v>
      </c>
      <c r="L2" s="13" t="s">
        <v>523</v>
      </c>
      <c r="M2" s="13" t="s">
        <v>356</v>
      </c>
      <c r="N2" s="13"/>
    </row>
    <row r="3" ht="52" spans="1:14">
      <c r="A3" s="5" t="s">
        <v>1955</v>
      </c>
      <c r="B3" s="5" t="s">
        <v>346</v>
      </c>
      <c r="C3" s="14" t="s">
        <v>1956</v>
      </c>
      <c r="D3" s="14" t="s">
        <v>1957</v>
      </c>
      <c r="E3" s="9" t="s">
        <v>1958</v>
      </c>
      <c r="F3" s="13" t="s">
        <v>456</v>
      </c>
      <c r="G3" s="13" t="s">
        <v>457</v>
      </c>
      <c r="H3" s="5" t="s">
        <v>370</v>
      </c>
      <c r="I3" s="13" t="s">
        <v>1953</v>
      </c>
      <c r="J3" s="5" t="s">
        <v>1954</v>
      </c>
      <c r="K3" s="13" t="s">
        <v>523</v>
      </c>
      <c r="L3" s="13" t="s">
        <v>523</v>
      </c>
      <c r="M3" s="13" t="s">
        <v>356</v>
      </c>
      <c r="N3" s="13"/>
    </row>
  </sheetData>
  <pageMargins left="0.699305555555556" right="0.699305555555556"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N3"/>
  <sheetViews>
    <sheetView workbookViewId="0">
      <selection activeCell="E25" sqref="E25"/>
    </sheetView>
  </sheetViews>
  <sheetFormatPr defaultColWidth="9" defaultRowHeight="13" outlineLevelRow="2"/>
  <cols>
    <col min="1" max="1" width="9.64" customWidth="1"/>
    <col min="3" max="3" width="20.43" customWidth="1"/>
    <col min="4" max="4" width="20.57" customWidth="1"/>
    <col min="5" max="5" width="53.43" customWidth="1"/>
    <col min="6" max="6" width="11.43" customWidth="1"/>
    <col min="8" max="8" width="9.64" customWidth="1"/>
    <col min="10" max="10" width="15" customWidth="1"/>
    <col min="13" max="13" width="9.64" customWidth="1"/>
    <col min="14" max="14" width="5.64" customWidth="1"/>
  </cols>
  <sheetData>
    <row r="1" s="1" customFormat="1" spans="1:14">
      <c r="A1" s="4" t="s">
        <v>332</v>
      </c>
      <c r="B1" s="4" t="s">
        <v>333</v>
      </c>
      <c r="C1" s="4" t="s">
        <v>334</v>
      </c>
      <c r="D1" s="4" t="s">
        <v>335</v>
      </c>
      <c r="E1" s="4" t="s">
        <v>336</v>
      </c>
      <c r="F1" s="4" t="s">
        <v>337</v>
      </c>
      <c r="G1" s="4" t="s">
        <v>338</v>
      </c>
      <c r="H1" s="4" t="s">
        <v>339</v>
      </c>
      <c r="I1" s="4" t="s">
        <v>340</v>
      </c>
      <c r="J1" s="4" t="s">
        <v>341</v>
      </c>
      <c r="K1" s="4" t="s">
        <v>342</v>
      </c>
      <c r="L1" s="4" t="s">
        <v>343</v>
      </c>
      <c r="M1" s="4" t="s">
        <v>344</v>
      </c>
      <c r="N1" s="4" t="s">
        <v>235</v>
      </c>
    </row>
    <row r="2" ht="26" spans="1:14">
      <c r="A2" s="5" t="s">
        <v>1959</v>
      </c>
      <c r="B2" s="5" t="s">
        <v>346</v>
      </c>
      <c r="C2" s="14" t="s">
        <v>1960</v>
      </c>
      <c r="D2" s="14" t="s">
        <v>1961</v>
      </c>
      <c r="E2" s="9" t="s">
        <v>1962</v>
      </c>
      <c r="F2" s="13" t="s">
        <v>456</v>
      </c>
      <c r="G2" s="13" t="s">
        <v>457</v>
      </c>
      <c r="H2" s="5" t="s">
        <v>370</v>
      </c>
      <c r="I2" s="13" t="s">
        <v>1529</v>
      </c>
      <c r="J2" s="13" t="s">
        <v>363</v>
      </c>
      <c r="K2" s="13" t="s">
        <v>523</v>
      </c>
      <c r="L2" s="13" t="s">
        <v>523</v>
      </c>
      <c r="M2" s="13" t="s">
        <v>356</v>
      </c>
      <c r="N2" s="13"/>
    </row>
    <row r="3" ht="26" spans="1:14">
      <c r="A3" s="20" t="s">
        <v>1963</v>
      </c>
      <c r="B3" s="20" t="s">
        <v>346</v>
      </c>
      <c r="C3" s="60" t="s">
        <v>1964</v>
      </c>
      <c r="D3" s="60" t="s">
        <v>1965</v>
      </c>
      <c r="E3" s="9" t="s">
        <v>1966</v>
      </c>
      <c r="F3" s="20" t="s">
        <v>456</v>
      </c>
      <c r="G3" s="20" t="s">
        <v>457</v>
      </c>
      <c r="H3" s="5" t="s">
        <v>370</v>
      </c>
      <c r="I3" s="20" t="s">
        <v>1529</v>
      </c>
      <c r="J3" s="13" t="s">
        <v>363</v>
      </c>
      <c r="K3" s="13" t="s">
        <v>523</v>
      </c>
      <c r="L3" s="13" t="s">
        <v>523</v>
      </c>
      <c r="M3" s="20" t="s">
        <v>356</v>
      </c>
      <c r="N3" s="60"/>
    </row>
  </sheetData>
  <pageMargins left="0.699305555555556" right="0.699305555555556"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N3"/>
  <sheetViews>
    <sheetView workbookViewId="0">
      <selection activeCell="E22" sqref="E22"/>
    </sheetView>
  </sheetViews>
  <sheetFormatPr defaultColWidth="9" defaultRowHeight="15" customHeight="1" outlineLevelRow="2"/>
  <cols>
    <col min="1" max="1" width="9.64" customWidth="1"/>
    <col min="3" max="3" width="20.43" customWidth="1"/>
    <col min="4" max="4" width="20.57" customWidth="1"/>
    <col min="5" max="5" width="53.43" customWidth="1"/>
    <col min="6" max="6" width="11.43" customWidth="1"/>
    <col min="8" max="8" width="9.64" customWidth="1"/>
    <col min="10" max="10" width="18.43" customWidth="1"/>
    <col min="13" max="13" width="9.64" customWidth="1"/>
    <col min="14" max="14" width="5.64" customWidth="1"/>
  </cols>
  <sheetData>
    <row r="1" s="1" customFormat="1" customHeight="1" spans="1:14">
      <c r="A1" s="4" t="s">
        <v>332</v>
      </c>
      <c r="B1" s="4" t="s">
        <v>333</v>
      </c>
      <c r="C1" s="4" t="s">
        <v>334</v>
      </c>
      <c r="D1" s="4" t="s">
        <v>335</v>
      </c>
      <c r="E1" s="4" t="s">
        <v>336</v>
      </c>
      <c r="F1" s="4" t="s">
        <v>337</v>
      </c>
      <c r="G1" s="4" t="s">
        <v>338</v>
      </c>
      <c r="H1" s="4" t="s">
        <v>339</v>
      </c>
      <c r="I1" s="4" t="s">
        <v>340</v>
      </c>
      <c r="J1" s="4" t="s">
        <v>341</v>
      </c>
      <c r="K1" s="4" t="s">
        <v>342</v>
      </c>
      <c r="L1" s="4" t="s">
        <v>343</v>
      </c>
      <c r="M1" s="4" t="s">
        <v>344</v>
      </c>
      <c r="N1" s="4" t="s">
        <v>235</v>
      </c>
    </row>
    <row r="2" customHeight="1" spans="1:14">
      <c r="A2" s="5" t="s">
        <v>1967</v>
      </c>
      <c r="B2" s="5" t="s">
        <v>346</v>
      </c>
      <c r="C2" s="14" t="s">
        <v>1968</v>
      </c>
      <c r="D2" s="14" t="s">
        <v>1969</v>
      </c>
      <c r="E2" s="9" t="s">
        <v>1970</v>
      </c>
      <c r="F2" s="13" t="s">
        <v>456</v>
      </c>
      <c r="G2" s="13" t="s">
        <v>457</v>
      </c>
      <c r="H2" s="5" t="s">
        <v>370</v>
      </c>
      <c r="I2" s="13" t="s">
        <v>1529</v>
      </c>
      <c r="J2" s="5" t="s">
        <v>1971</v>
      </c>
      <c r="K2" s="13" t="s">
        <v>523</v>
      </c>
      <c r="L2" s="13" t="s">
        <v>523</v>
      </c>
      <c r="M2" s="13" t="s">
        <v>356</v>
      </c>
      <c r="N2" s="13"/>
    </row>
    <row r="3" customHeight="1" spans="1:14">
      <c r="A3" s="20" t="s">
        <v>1972</v>
      </c>
      <c r="B3" s="20" t="s">
        <v>346</v>
      </c>
      <c r="C3" s="60" t="s">
        <v>1973</v>
      </c>
      <c r="D3" s="60" t="s">
        <v>1974</v>
      </c>
      <c r="E3" s="9" t="s">
        <v>1975</v>
      </c>
      <c r="F3" s="20" t="s">
        <v>456</v>
      </c>
      <c r="G3" s="20" t="s">
        <v>457</v>
      </c>
      <c r="H3" s="5" t="s">
        <v>370</v>
      </c>
      <c r="I3" s="20" t="s">
        <v>1529</v>
      </c>
      <c r="J3" s="5" t="s">
        <v>1971</v>
      </c>
      <c r="K3" s="13" t="s">
        <v>523</v>
      </c>
      <c r="L3" s="13" t="s">
        <v>523</v>
      </c>
      <c r="M3" s="20" t="s">
        <v>356</v>
      </c>
      <c r="N3" s="60"/>
    </row>
  </sheetData>
  <pageMargins left="0.699305555555556" right="0.699305555555556"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4"/>
  <sheetViews>
    <sheetView topLeftCell="E1" workbookViewId="0">
      <selection activeCell="N2" sqref="N2:N4"/>
    </sheetView>
  </sheetViews>
  <sheetFormatPr defaultColWidth="9" defaultRowHeight="13" outlineLevelRow="3"/>
  <cols>
    <col min="1" max="2" width="9" style="1"/>
    <col min="3" max="3" width="21.57" style="1" customWidth="1"/>
    <col min="4" max="4" width="35.57" style="1" customWidth="1"/>
    <col min="5" max="5" width="30.57" style="1" customWidth="1"/>
    <col min="6" max="6" width="52" style="1" customWidth="1"/>
    <col min="7" max="7" width="9" style="1"/>
    <col min="8" max="8" width="9.64" style="1" customWidth="1"/>
    <col min="9" max="9" width="9" style="1"/>
    <col min="10" max="10" width="19.43" style="1" customWidth="1"/>
    <col min="11" max="12" width="9" style="1"/>
    <col min="13" max="13" width="9.64" style="1" customWidth="1"/>
    <col min="14" max="14" width="17.14" style="1" customWidth="1"/>
    <col min="15" max="16384" width="9" style="1"/>
  </cols>
  <sheetData>
    <row r="1" spans="1:14">
      <c r="A1" s="4" t="s">
        <v>332</v>
      </c>
      <c r="B1" s="4" t="s">
        <v>333</v>
      </c>
      <c r="C1" s="4" t="s">
        <v>334</v>
      </c>
      <c r="D1" s="4" t="s">
        <v>335</v>
      </c>
      <c r="E1" s="4" t="s">
        <v>336</v>
      </c>
      <c r="F1" s="4" t="s">
        <v>337</v>
      </c>
      <c r="G1" s="4" t="s">
        <v>338</v>
      </c>
      <c r="H1" s="4" t="s">
        <v>339</v>
      </c>
      <c r="I1" s="4" t="s">
        <v>340</v>
      </c>
      <c r="J1" s="4" t="s">
        <v>341</v>
      </c>
      <c r="K1" s="4" t="s">
        <v>342</v>
      </c>
      <c r="L1" s="4" t="s">
        <v>343</v>
      </c>
      <c r="M1" s="4" t="s">
        <v>344</v>
      </c>
      <c r="N1" s="4" t="s">
        <v>235</v>
      </c>
    </row>
    <row r="2" ht="65" spans="1:14">
      <c r="A2" s="8" t="s">
        <v>1976</v>
      </c>
      <c r="B2" s="54" t="s">
        <v>373</v>
      </c>
      <c r="C2" s="6" t="s">
        <v>1977</v>
      </c>
      <c r="D2" s="6" t="s">
        <v>1978</v>
      </c>
      <c r="E2" s="55" t="s">
        <v>1979</v>
      </c>
      <c r="F2" s="55" t="s">
        <v>1980</v>
      </c>
      <c r="G2" s="8" t="s">
        <v>392</v>
      </c>
      <c r="H2" s="8" t="s">
        <v>352</v>
      </c>
      <c r="I2" s="8" t="s">
        <v>393</v>
      </c>
      <c r="J2" s="8" t="s">
        <v>1981</v>
      </c>
      <c r="K2" s="8" t="s">
        <v>355</v>
      </c>
      <c r="L2" s="8" t="s">
        <v>355</v>
      </c>
      <c r="M2" s="8" t="s">
        <v>567</v>
      </c>
      <c r="N2" s="19" t="s">
        <v>1982</v>
      </c>
    </row>
    <row r="3" ht="52" spans="1:14">
      <c r="A3" s="5" t="s">
        <v>1983</v>
      </c>
      <c r="B3" s="54" t="s">
        <v>373</v>
      </c>
      <c r="C3" s="6" t="s">
        <v>1984</v>
      </c>
      <c r="D3" s="6" t="s">
        <v>1985</v>
      </c>
      <c r="E3" s="12" t="s">
        <v>1986</v>
      </c>
      <c r="F3" s="12" t="s">
        <v>1987</v>
      </c>
      <c r="G3" s="5" t="s">
        <v>392</v>
      </c>
      <c r="H3" s="5" t="s">
        <v>352</v>
      </c>
      <c r="I3" s="5" t="s">
        <v>393</v>
      </c>
      <c r="J3" s="5" t="s">
        <v>1981</v>
      </c>
      <c r="K3" s="5" t="s">
        <v>355</v>
      </c>
      <c r="L3" s="5" t="s">
        <v>355</v>
      </c>
      <c r="M3" s="5" t="s">
        <v>567</v>
      </c>
      <c r="N3" s="58"/>
    </row>
    <row r="4" ht="52" spans="1:14">
      <c r="A4" s="5" t="s">
        <v>1988</v>
      </c>
      <c r="B4" s="54" t="s">
        <v>373</v>
      </c>
      <c r="C4" s="6" t="s">
        <v>1989</v>
      </c>
      <c r="D4" s="6" t="s">
        <v>1990</v>
      </c>
      <c r="E4" s="9" t="s">
        <v>1991</v>
      </c>
      <c r="F4" s="7" t="s">
        <v>1992</v>
      </c>
      <c r="G4" s="5" t="s">
        <v>392</v>
      </c>
      <c r="H4" s="5" t="s">
        <v>352</v>
      </c>
      <c r="I4" s="5" t="s">
        <v>393</v>
      </c>
      <c r="J4" s="5" t="s">
        <v>1981</v>
      </c>
      <c r="K4" s="5" t="s">
        <v>355</v>
      </c>
      <c r="L4" s="5" t="s">
        <v>355</v>
      </c>
      <c r="M4" s="5" t="s">
        <v>567</v>
      </c>
      <c r="N4" s="59"/>
    </row>
  </sheetData>
  <mergeCells count="1">
    <mergeCell ref="N2:N4"/>
  </mergeCells>
  <pageMargins left="0.75" right="0.75" top="1" bottom="1" header="0.5" footer="0.5"/>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
  <sheetViews>
    <sheetView workbookViewId="0">
      <selection activeCell="A2" sqref="A2:N3"/>
    </sheetView>
  </sheetViews>
  <sheetFormatPr defaultColWidth="9" defaultRowHeight="13" outlineLevelRow="2"/>
  <cols>
    <col min="4" max="6" width="12.36" customWidth="1"/>
    <col min="10" max="10" width="14.43" customWidth="1"/>
  </cols>
  <sheetData>
    <row r="1" s="1" customFormat="1" spans="1:14">
      <c r="A1" s="4" t="s">
        <v>332</v>
      </c>
      <c r="B1" s="4" t="s">
        <v>333</v>
      </c>
      <c r="C1" s="4" t="s">
        <v>334</v>
      </c>
      <c r="D1" s="4" t="s">
        <v>335</v>
      </c>
      <c r="E1" s="4" t="s">
        <v>336</v>
      </c>
      <c r="F1" s="4" t="s">
        <v>337</v>
      </c>
      <c r="G1" s="4" t="s">
        <v>338</v>
      </c>
      <c r="H1" s="4" t="s">
        <v>339</v>
      </c>
      <c r="I1" s="4" t="s">
        <v>340</v>
      </c>
      <c r="J1" s="4" t="s">
        <v>341</v>
      </c>
      <c r="K1" s="4" t="s">
        <v>342</v>
      </c>
      <c r="L1" s="4" t="s">
        <v>343</v>
      </c>
      <c r="M1" s="4" t="s">
        <v>344</v>
      </c>
      <c r="N1" s="4" t="s">
        <v>235</v>
      </c>
    </row>
    <row r="2" ht="78" spans="1:14">
      <c r="A2" s="5" t="s">
        <v>1993</v>
      </c>
      <c r="B2" s="5" t="s">
        <v>346</v>
      </c>
      <c r="C2" s="6" t="s">
        <v>1994</v>
      </c>
      <c r="D2" s="6" t="s">
        <v>1995</v>
      </c>
      <c r="E2" s="6" t="s">
        <v>1996</v>
      </c>
      <c r="F2" s="6" t="s">
        <v>1997</v>
      </c>
      <c r="G2" s="5" t="s">
        <v>392</v>
      </c>
      <c r="H2" s="5" t="s">
        <v>352</v>
      </c>
      <c r="I2" s="5" t="s">
        <v>437</v>
      </c>
      <c r="J2" s="13" t="s">
        <v>363</v>
      </c>
      <c r="K2" s="5" t="s">
        <v>355</v>
      </c>
      <c r="L2" s="5" t="s">
        <v>355</v>
      </c>
      <c r="M2" s="5" t="s">
        <v>356</v>
      </c>
      <c r="N2" s="5"/>
    </row>
    <row r="3" ht="130" spans="1:14">
      <c r="A3" s="5" t="s">
        <v>1998</v>
      </c>
      <c r="B3" s="5" t="s">
        <v>346</v>
      </c>
      <c r="C3" s="6" t="s">
        <v>1999</v>
      </c>
      <c r="D3" s="6" t="s">
        <v>2000</v>
      </c>
      <c r="E3" s="6" t="s">
        <v>2001</v>
      </c>
      <c r="F3" s="6" t="s">
        <v>2002</v>
      </c>
      <c r="G3" s="5" t="s">
        <v>392</v>
      </c>
      <c r="H3" s="5" t="s">
        <v>352</v>
      </c>
      <c r="I3" s="20" t="s">
        <v>437</v>
      </c>
      <c r="J3" s="15" t="s">
        <v>363</v>
      </c>
      <c r="K3" s="5" t="s">
        <v>355</v>
      </c>
      <c r="L3" s="5" t="s">
        <v>355</v>
      </c>
      <c r="M3" s="5" t="s">
        <v>356</v>
      </c>
      <c r="N3" s="20"/>
    </row>
  </sheetData>
  <pageMargins left="0.699305555555556" right="0.699305555555556"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6"/>
  <sheetViews>
    <sheetView topLeftCell="D1" workbookViewId="0">
      <selection activeCell="K1" sqref="K1"/>
    </sheetView>
  </sheetViews>
  <sheetFormatPr defaultColWidth="9" defaultRowHeight="13" outlineLevelRow="5"/>
  <cols>
    <col min="3" max="3" width="25.64" customWidth="1"/>
    <col min="4" max="4" width="22.36" customWidth="1"/>
    <col min="5" max="5" width="18.57" customWidth="1"/>
    <col min="6" max="6" width="25.21" customWidth="1"/>
    <col min="10" max="10" width="19.86" customWidth="1"/>
    <col min="14" max="14" width="26.43" customWidth="1"/>
  </cols>
  <sheetData>
    <row r="1" s="1" customFormat="1" spans="1:14">
      <c r="A1" s="4" t="s">
        <v>332</v>
      </c>
      <c r="B1" s="4" t="s">
        <v>333</v>
      </c>
      <c r="C1" s="4" t="s">
        <v>334</v>
      </c>
      <c r="D1" s="4" t="s">
        <v>335</v>
      </c>
      <c r="E1" s="4" t="s">
        <v>336</v>
      </c>
      <c r="F1" s="4" t="s">
        <v>337</v>
      </c>
      <c r="G1" s="4" t="s">
        <v>338</v>
      </c>
      <c r="H1" s="4" t="s">
        <v>339</v>
      </c>
      <c r="I1" s="4" t="s">
        <v>340</v>
      </c>
      <c r="J1" s="4" t="s">
        <v>341</v>
      </c>
      <c r="K1" s="4" t="s">
        <v>342</v>
      </c>
      <c r="L1" s="4" t="s">
        <v>343</v>
      </c>
      <c r="M1" s="4" t="s">
        <v>344</v>
      </c>
      <c r="N1" s="4" t="s">
        <v>235</v>
      </c>
    </row>
    <row r="2" ht="26" spans="1:14">
      <c r="A2" s="5" t="s">
        <v>2003</v>
      </c>
      <c r="B2" s="54" t="s">
        <v>373</v>
      </c>
      <c r="C2" s="6" t="s">
        <v>2004</v>
      </c>
      <c r="D2" s="6" t="s">
        <v>2005</v>
      </c>
      <c r="E2" s="6" t="s">
        <v>2006</v>
      </c>
      <c r="F2" s="5" t="s">
        <v>1594</v>
      </c>
      <c r="G2" s="5" t="s">
        <v>392</v>
      </c>
      <c r="H2" s="5" t="s">
        <v>1595</v>
      </c>
      <c r="I2" s="5" t="s">
        <v>1596</v>
      </c>
      <c r="J2" s="13" t="s">
        <v>2007</v>
      </c>
      <c r="K2" s="5" t="s">
        <v>355</v>
      </c>
      <c r="L2" s="5" t="s">
        <v>355</v>
      </c>
      <c r="M2" s="5" t="s">
        <v>356</v>
      </c>
      <c r="N2" s="19" t="s">
        <v>2008</v>
      </c>
    </row>
    <row r="3" ht="26" spans="1:14">
      <c r="A3" s="5" t="s">
        <v>2009</v>
      </c>
      <c r="B3" s="54" t="s">
        <v>373</v>
      </c>
      <c r="C3" s="6" t="s">
        <v>2010</v>
      </c>
      <c r="D3" s="6" t="s">
        <v>2011</v>
      </c>
      <c r="E3" s="6" t="s">
        <v>2012</v>
      </c>
      <c r="F3" s="5" t="s">
        <v>1594</v>
      </c>
      <c r="G3" s="5" t="s">
        <v>392</v>
      </c>
      <c r="H3" s="5" t="s">
        <v>1595</v>
      </c>
      <c r="I3" s="5" t="s">
        <v>1596</v>
      </c>
      <c r="J3" s="13" t="s">
        <v>2007</v>
      </c>
      <c r="K3" s="5" t="s">
        <v>355</v>
      </c>
      <c r="L3" s="5" t="s">
        <v>355</v>
      </c>
      <c r="M3" s="5" t="s">
        <v>356</v>
      </c>
      <c r="N3" s="58"/>
    </row>
    <row r="4" ht="22.05" customHeight="1" spans="1:14">
      <c r="A4" s="8" t="s">
        <v>2013</v>
      </c>
      <c r="B4" s="54" t="s">
        <v>373</v>
      </c>
      <c r="C4" s="6" t="s">
        <v>2014</v>
      </c>
      <c r="D4" s="6" t="s">
        <v>2015</v>
      </c>
      <c r="E4" s="55" t="s">
        <v>2016</v>
      </c>
      <c r="F4" s="55" t="s">
        <v>736</v>
      </c>
      <c r="G4" s="8" t="s">
        <v>369</v>
      </c>
      <c r="H4" s="8" t="s">
        <v>352</v>
      </c>
      <c r="I4" s="8" t="s">
        <v>371</v>
      </c>
      <c r="J4" s="19" t="s">
        <v>2007</v>
      </c>
      <c r="K4" s="8" t="s">
        <v>355</v>
      </c>
      <c r="L4" s="8" t="s">
        <v>355</v>
      </c>
      <c r="M4" s="5" t="s">
        <v>356</v>
      </c>
      <c r="N4" s="58"/>
    </row>
    <row r="5" ht="26" spans="1:14">
      <c r="A5" s="10"/>
      <c r="B5" s="54" t="s">
        <v>373</v>
      </c>
      <c r="C5" s="6" t="s">
        <v>2017</v>
      </c>
      <c r="D5" s="6" t="s">
        <v>2018</v>
      </c>
      <c r="E5" s="56"/>
      <c r="F5" s="56"/>
      <c r="G5" s="10"/>
      <c r="H5" s="10"/>
      <c r="I5" s="10"/>
      <c r="J5" s="58"/>
      <c r="K5" s="10"/>
      <c r="L5" s="10"/>
      <c r="M5" s="5"/>
      <c r="N5" s="58"/>
    </row>
    <row r="6" ht="26" spans="1:14">
      <c r="A6" s="11"/>
      <c r="B6" s="54" t="s">
        <v>436</v>
      </c>
      <c r="C6" s="6" t="s">
        <v>2019</v>
      </c>
      <c r="D6" s="6" t="s">
        <v>2020</v>
      </c>
      <c r="E6" s="57"/>
      <c r="F6" s="57"/>
      <c r="G6" s="11"/>
      <c r="H6" s="11"/>
      <c r="I6" s="11"/>
      <c r="J6" s="59"/>
      <c r="K6" s="11"/>
      <c r="L6" s="11"/>
      <c r="M6" s="5"/>
      <c r="N6" s="59"/>
    </row>
  </sheetData>
  <mergeCells count="11">
    <mergeCell ref="A4:A6"/>
    <mergeCell ref="E4:E6"/>
    <mergeCell ref="F4:F6"/>
    <mergeCell ref="G4:G6"/>
    <mergeCell ref="H4:H6"/>
    <mergeCell ref="I4:I6"/>
    <mergeCell ref="J4:J6"/>
    <mergeCell ref="K4:K6"/>
    <mergeCell ref="L4:L6"/>
    <mergeCell ref="M4:M6"/>
    <mergeCell ref="N2:N6"/>
  </mergeCells>
  <pageMargins left="0.699305555555556" right="0.699305555555556"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tabColor rgb="FF00B050"/>
  </sheetPr>
  <dimension ref="A1:U13"/>
  <sheetViews>
    <sheetView workbookViewId="0">
      <selection activeCell="E22" sqref="E22"/>
    </sheetView>
  </sheetViews>
  <sheetFormatPr defaultColWidth="21.07" defaultRowHeight="15"/>
  <cols>
    <col min="1" max="2" width="10.36" style="2" customWidth="1"/>
    <col min="3" max="3" width="20.14" style="2" customWidth="1"/>
    <col min="4" max="4" width="23.93" style="2" customWidth="1"/>
    <col min="5" max="5" width="91.29" style="2" customWidth="1"/>
    <col min="6" max="9" width="10.36" style="2"/>
    <col min="10" max="10" width="21.64" style="2" customWidth="1"/>
    <col min="11" max="13" width="10.36" style="2"/>
    <col min="14" max="14" width="33.43" style="2" customWidth="1"/>
    <col min="15" max="32" width="10.36" style="2" customWidth="1"/>
    <col min="33" max="16384" width="21.07" style="2"/>
  </cols>
  <sheetData>
    <row r="1" ht="13" spans="1:14">
      <c r="A1" s="4" t="s">
        <v>332</v>
      </c>
      <c r="B1" s="4" t="s">
        <v>333</v>
      </c>
      <c r="C1" s="4" t="s">
        <v>334</v>
      </c>
      <c r="D1" s="4" t="s">
        <v>335</v>
      </c>
      <c r="E1" s="4" t="s">
        <v>336</v>
      </c>
      <c r="F1" s="4" t="s">
        <v>337</v>
      </c>
      <c r="G1" s="4" t="s">
        <v>338</v>
      </c>
      <c r="H1" s="4" t="s">
        <v>339</v>
      </c>
      <c r="I1" s="4" t="s">
        <v>340</v>
      </c>
      <c r="J1" s="4" t="s">
        <v>341</v>
      </c>
      <c r="K1" s="4" t="s">
        <v>342</v>
      </c>
      <c r="L1" s="4" t="s">
        <v>343</v>
      </c>
      <c r="M1" s="4" t="s">
        <v>344</v>
      </c>
      <c r="N1" s="4" t="s">
        <v>235</v>
      </c>
    </row>
    <row r="2" s="21" customFormat="1" ht="26" spans="1:14">
      <c r="A2" s="25" t="s">
        <v>2021</v>
      </c>
      <c r="B2" s="25" t="s">
        <v>373</v>
      </c>
      <c r="C2" s="26" t="s">
        <v>2022</v>
      </c>
      <c r="D2" s="26" t="s">
        <v>2023</v>
      </c>
      <c r="E2" s="27" t="s">
        <v>2024</v>
      </c>
      <c r="F2" s="28" t="s">
        <v>456</v>
      </c>
      <c r="G2" s="28" t="s">
        <v>457</v>
      </c>
      <c r="H2" s="25" t="s">
        <v>370</v>
      </c>
      <c r="I2" s="28" t="s">
        <v>1529</v>
      </c>
      <c r="J2" s="32" t="s">
        <v>2025</v>
      </c>
      <c r="K2" s="28" t="s">
        <v>523</v>
      </c>
      <c r="L2" s="28" t="s">
        <v>523</v>
      </c>
      <c r="M2" s="28" t="s">
        <v>356</v>
      </c>
      <c r="N2" s="27" t="s">
        <v>2026</v>
      </c>
    </row>
    <row r="3" s="21" customFormat="1" ht="26" spans="1:14">
      <c r="A3" s="25" t="s">
        <v>2027</v>
      </c>
      <c r="B3" s="29" t="s">
        <v>373</v>
      </c>
      <c r="C3" s="30" t="s">
        <v>2028</v>
      </c>
      <c r="D3" s="26" t="s">
        <v>2029</v>
      </c>
      <c r="E3" s="27" t="s">
        <v>2030</v>
      </c>
      <c r="F3" s="29" t="s">
        <v>456</v>
      </c>
      <c r="G3" s="29" t="s">
        <v>457</v>
      </c>
      <c r="H3" s="25" t="s">
        <v>370</v>
      </c>
      <c r="I3" s="29" t="s">
        <v>1529</v>
      </c>
      <c r="J3" s="25" t="s">
        <v>1971</v>
      </c>
      <c r="K3" s="28" t="s">
        <v>523</v>
      </c>
      <c r="L3" s="28" t="s">
        <v>523</v>
      </c>
      <c r="M3" s="29" t="s">
        <v>356</v>
      </c>
      <c r="N3" s="27" t="s">
        <v>2026</v>
      </c>
    </row>
    <row r="4" s="21" customFormat="1" ht="26" spans="1:14">
      <c r="A4" s="25" t="s">
        <v>2031</v>
      </c>
      <c r="B4" s="29" t="s">
        <v>373</v>
      </c>
      <c r="C4" s="30" t="s">
        <v>2032</v>
      </c>
      <c r="D4" s="26" t="s">
        <v>2033</v>
      </c>
      <c r="E4" s="31" t="s">
        <v>2034</v>
      </c>
      <c r="F4" s="29" t="s">
        <v>456</v>
      </c>
      <c r="G4" s="25" t="s">
        <v>351</v>
      </c>
      <c r="H4" s="25" t="s">
        <v>462</v>
      </c>
      <c r="I4" s="25" t="s">
        <v>1396</v>
      </c>
      <c r="J4" s="28" t="s">
        <v>363</v>
      </c>
      <c r="K4" s="28" t="s">
        <v>523</v>
      </c>
      <c r="L4" s="28" t="s">
        <v>523</v>
      </c>
      <c r="M4" s="28" t="s">
        <v>356</v>
      </c>
      <c r="N4" s="27" t="s">
        <v>2035</v>
      </c>
    </row>
    <row r="5" s="21" customFormat="1" ht="26" spans="1:14">
      <c r="A5" s="25" t="s">
        <v>2036</v>
      </c>
      <c r="B5" s="29" t="s">
        <v>373</v>
      </c>
      <c r="C5" s="30" t="s">
        <v>2037</v>
      </c>
      <c r="D5" s="26" t="s">
        <v>2038</v>
      </c>
      <c r="E5" s="31" t="s">
        <v>2039</v>
      </c>
      <c r="F5" s="29" t="s">
        <v>456</v>
      </c>
      <c r="G5" s="25" t="s">
        <v>351</v>
      </c>
      <c r="H5" s="25" t="s">
        <v>462</v>
      </c>
      <c r="I5" s="25" t="s">
        <v>1396</v>
      </c>
      <c r="J5" s="28" t="s">
        <v>363</v>
      </c>
      <c r="K5" s="28" t="s">
        <v>523</v>
      </c>
      <c r="L5" s="28" t="s">
        <v>523</v>
      </c>
      <c r="M5" s="29" t="s">
        <v>356</v>
      </c>
      <c r="N5" s="27" t="s">
        <v>2035</v>
      </c>
    </row>
    <row r="6" s="21" customFormat="1" ht="91" spans="1:14">
      <c r="A6" s="28" t="s">
        <v>2040</v>
      </c>
      <c r="B6" s="28" t="s">
        <v>346</v>
      </c>
      <c r="C6" s="30" t="s">
        <v>2041</v>
      </c>
      <c r="D6" s="30" t="s">
        <v>2042</v>
      </c>
      <c r="E6" s="27" t="s">
        <v>2043</v>
      </c>
      <c r="F6" s="32" t="s">
        <v>456</v>
      </c>
      <c r="G6" s="32" t="s">
        <v>457</v>
      </c>
      <c r="H6" s="29" t="s">
        <v>370</v>
      </c>
      <c r="I6" s="32" t="s">
        <v>1529</v>
      </c>
      <c r="J6" s="32" t="s">
        <v>1954</v>
      </c>
      <c r="K6" s="32" t="s">
        <v>523</v>
      </c>
      <c r="L6" s="32" t="s">
        <v>523</v>
      </c>
      <c r="M6" s="32" t="s">
        <v>356</v>
      </c>
      <c r="N6" s="47" t="s">
        <v>2044</v>
      </c>
    </row>
    <row r="7" s="21" customFormat="1" ht="26" spans="1:14">
      <c r="A7" s="28" t="s">
        <v>2045</v>
      </c>
      <c r="B7" s="29" t="s">
        <v>373</v>
      </c>
      <c r="C7" s="30" t="s">
        <v>2046</v>
      </c>
      <c r="D7" s="33" t="s">
        <v>2047</v>
      </c>
      <c r="E7" s="31" t="s">
        <v>2048</v>
      </c>
      <c r="F7" s="29" t="s">
        <v>456</v>
      </c>
      <c r="G7" s="25" t="s">
        <v>351</v>
      </c>
      <c r="H7" s="25" t="s">
        <v>462</v>
      </c>
      <c r="I7" s="25" t="s">
        <v>1396</v>
      </c>
      <c r="J7" s="28" t="s">
        <v>363</v>
      </c>
      <c r="K7" s="28" t="s">
        <v>523</v>
      </c>
      <c r="L7" s="28" t="s">
        <v>523</v>
      </c>
      <c r="M7" s="28" t="s">
        <v>356</v>
      </c>
      <c r="N7" s="48" t="s">
        <v>2049</v>
      </c>
    </row>
    <row r="8" s="21" customFormat="1" ht="26" spans="1:14">
      <c r="A8" s="28" t="s">
        <v>2050</v>
      </c>
      <c r="B8" s="34" t="s">
        <v>373</v>
      </c>
      <c r="C8" s="35" t="s">
        <v>2051</v>
      </c>
      <c r="D8" s="36" t="s">
        <v>2052</v>
      </c>
      <c r="E8" s="37" t="s">
        <v>2053</v>
      </c>
      <c r="F8" s="34" t="s">
        <v>456</v>
      </c>
      <c r="G8" s="38" t="s">
        <v>351</v>
      </c>
      <c r="H8" s="38" t="s">
        <v>462</v>
      </c>
      <c r="I8" s="38" t="s">
        <v>1396</v>
      </c>
      <c r="J8" s="49" t="s">
        <v>1971</v>
      </c>
      <c r="K8" s="50" t="s">
        <v>523</v>
      </c>
      <c r="L8" s="50" t="s">
        <v>523</v>
      </c>
      <c r="M8" s="34" t="s">
        <v>356</v>
      </c>
      <c r="N8" s="48" t="s">
        <v>2049</v>
      </c>
    </row>
    <row r="9" s="22" customFormat="1" ht="312" spans="1:21">
      <c r="A9" s="28" t="s">
        <v>2054</v>
      </c>
      <c r="B9" s="34" t="s">
        <v>373</v>
      </c>
      <c r="C9" s="30" t="s">
        <v>2055</v>
      </c>
      <c r="D9" s="39" t="s">
        <v>2056</v>
      </c>
      <c r="E9" s="27" t="s">
        <v>2057</v>
      </c>
      <c r="F9" s="32" t="s">
        <v>456</v>
      </c>
      <c r="G9" s="32" t="s">
        <v>457</v>
      </c>
      <c r="H9" s="29" t="s">
        <v>370</v>
      </c>
      <c r="I9" s="32" t="s">
        <v>1529</v>
      </c>
      <c r="J9" s="32" t="s">
        <v>1954</v>
      </c>
      <c r="K9" s="50" t="s">
        <v>523</v>
      </c>
      <c r="L9" s="50" t="s">
        <v>523</v>
      </c>
      <c r="M9" s="34" t="s">
        <v>356</v>
      </c>
      <c r="N9" s="51" t="s">
        <v>2058</v>
      </c>
      <c r="O9" s="21"/>
      <c r="P9" s="21"/>
      <c r="Q9" s="21"/>
      <c r="R9" s="21"/>
      <c r="S9" s="21"/>
      <c r="T9" s="21"/>
      <c r="U9" s="21"/>
    </row>
    <row r="10" s="22" customFormat="1" ht="312" spans="1:21">
      <c r="A10" s="28" t="s">
        <v>2059</v>
      </c>
      <c r="B10" s="34" t="s">
        <v>373</v>
      </c>
      <c r="C10" s="30" t="s">
        <v>2060</v>
      </c>
      <c r="D10" s="39" t="s">
        <v>2061</v>
      </c>
      <c r="E10" s="27" t="s">
        <v>2062</v>
      </c>
      <c r="F10" s="32" t="s">
        <v>456</v>
      </c>
      <c r="G10" s="32" t="s">
        <v>457</v>
      </c>
      <c r="H10" s="29" t="s">
        <v>370</v>
      </c>
      <c r="I10" s="32" t="s">
        <v>1529</v>
      </c>
      <c r="J10" s="32" t="s">
        <v>1954</v>
      </c>
      <c r="K10" s="50" t="s">
        <v>523</v>
      </c>
      <c r="L10" s="50" t="s">
        <v>523</v>
      </c>
      <c r="M10" s="34" t="s">
        <v>356</v>
      </c>
      <c r="N10" s="51" t="s">
        <v>2063</v>
      </c>
      <c r="O10" s="21"/>
      <c r="P10" s="21"/>
      <c r="Q10" s="21"/>
      <c r="R10" s="21"/>
      <c r="S10" s="21"/>
      <c r="T10" s="21"/>
      <c r="U10" s="21"/>
    </row>
    <row r="11" s="22" customFormat="1" ht="312" spans="1:21">
      <c r="A11" s="28" t="s">
        <v>2064</v>
      </c>
      <c r="B11" s="34" t="s">
        <v>373</v>
      </c>
      <c r="C11" s="30" t="s">
        <v>2065</v>
      </c>
      <c r="D11" s="39" t="s">
        <v>2066</v>
      </c>
      <c r="E11" s="27" t="s">
        <v>2067</v>
      </c>
      <c r="F11" s="32" t="s">
        <v>456</v>
      </c>
      <c r="G11" s="32" t="s">
        <v>457</v>
      </c>
      <c r="H11" s="29" t="s">
        <v>370</v>
      </c>
      <c r="I11" s="32" t="s">
        <v>1529</v>
      </c>
      <c r="J11" s="32" t="s">
        <v>1954</v>
      </c>
      <c r="K11" s="50" t="s">
        <v>523</v>
      </c>
      <c r="L11" s="50" t="s">
        <v>523</v>
      </c>
      <c r="M11" s="34" t="s">
        <v>356</v>
      </c>
      <c r="N11" s="51" t="s">
        <v>2068</v>
      </c>
      <c r="O11" s="21"/>
      <c r="P11" s="21"/>
      <c r="Q11" s="21"/>
      <c r="R11" s="21"/>
      <c r="S11" s="21"/>
      <c r="T11" s="21"/>
      <c r="U11" s="21"/>
    </row>
    <row r="12" s="23" customFormat="1" spans="1:21">
      <c r="A12" s="40" t="s">
        <v>2069</v>
      </c>
      <c r="B12" s="41" t="s">
        <v>373</v>
      </c>
      <c r="C12" s="42" t="s">
        <v>2070</v>
      </c>
      <c r="D12" s="43" t="s">
        <v>2071</v>
      </c>
      <c r="E12" s="44" t="s">
        <v>2072</v>
      </c>
      <c r="F12" s="45" t="s">
        <v>456</v>
      </c>
      <c r="G12" s="45" t="s">
        <v>351</v>
      </c>
      <c r="H12" s="41" t="s">
        <v>462</v>
      </c>
      <c r="I12" s="45" t="s">
        <v>1396</v>
      </c>
      <c r="J12" s="45" t="s">
        <v>1408</v>
      </c>
      <c r="K12" s="40" t="s">
        <v>523</v>
      </c>
      <c r="L12" s="40" t="s">
        <v>523</v>
      </c>
      <c r="M12" s="41" t="s">
        <v>356</v>
      </c>
      <c r="N12" s="52" t="s">
        <v>2035</v>
      </c>
      <c r="O12" s="24"/>
      <c r="P12" s="24"/>
      <c r="Q12" s="24"/>
      <c r="R12" s="24"/>
      <c r="S12" s="24"/>
      <c r="T12" s="24"/>
      <c r="U12" s="24"/>
    </row>
    <row r="13" s="24" customFormat="1" spans="1:14">
      <c r="A13" s="40" t="s">
        <v>2073</v>
      </c>
      <c r="B13" s="40" t="s">
        <v>464</v>
      </c>
      <c r="C13" s="46" t="s">
        <v>2074</v>
      </c>
      <c r="D13" s="46" t="s">
        <v>2075</v>
      </c>
      <c r="E13" s="46" t="s">
        <v>2076</v>
      </c>
      <c r="F13" s="40" t="s">
        <v>456</v>
      </c>
      <c r="G13" s="40" t="s">
        <v>457</v>
      </c>
      <c r="H13" s="40" t="s">
        <v>370</v>
      </c>
      <c r="I13" s="40" t="s">
        <v>2077</v>
      </c>
      <c r="J13" s="40" t="s">
        <v>2078</v>
      </c>
      <c r="K13" s="40" t="s">
        <v>523</v>
      </c>
      <c r="L13" s="40" t="s">
        <v>523</v>
      </c>
      <c r="M13" s="40" t="s">
        <v>356</v>
      </c>
      <c r="N13" s="53" t="s">
        <v>2079</v>
      </c>
    </row>
  </sheetData>
  <pageMargins left="0.747916666666667" right="0.747916666666667" top="0.984027777777778" bottom="0.984027777777778" header="0.511805555555556" footer="0.511805555555556"/>
  <pageSetup paperSize="9" orientation="portrait"/>
  <headerFooter alignWithMargins="0">
    <oddHeader>&amp;L&amp;"Times New Roman,加粗"&amp;G&amp;R秘密▲</oddHeader>
    <oddFooter>&amp;L&amp;10&lt;以上所有信息均为中兴通讯股份有限公司所有，不得外传&gt;&amp;R&amp;10共 &amp;N 页 , 第 &amp;P 页</oddFooter>
  </headerFooter>
  <legacyDrawingHF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N38"/>
  <sheetViews>
    <sheetView topLeftCell="A36" workbookViewId="0">
      <selection activeCell="E41" sqref="E41"/>
    </sheetView>
  </sheetViews>
  <sheetFormatPr defaultColWidth="10.36" defaultRowHeight="48" customHeight="1"/>
  <cols>
    <col min="1" max="2" width="10.36" style="2"/>
    <col min="3" max="3" width="20.14" style="2" customWidth="1"/>
    <col min="4" max="4" width="39.21" style="2" customWidth="1"/>
    <col min="5" max="5" width="33.64" style="2" customWidth="1"/>
    <col min="6" max="6" width="55.79" style="2" customWidth="1"/>
    <col min="7" max="9" width="10.36" style="2"/>
    <col min="10" max="10" width="21.64" style="2" customWidth="1"/>
    <col min="11" max="13" width="10.36" style="2"/>
    <col min="14" max="14" width="33.43" style="3" customWidth="1"/>
    <col min="15" max="16384" width="10.36" style="2"/>
  </cols>
  <sheetData>
    <row r="1" customHeight="1" spans="1:14">
      <c r="A1" s="4" t="s">
        <v>332</v>
      </c>
      <c r="B1" s="4" t="s">
        <v>333</v>
      </c>
      <c r="C1" s="4" t="s">
        <v>334</v>
      </c>
      <c r="D1" s="4" t="s">
        <v>335</v>
      </c>
      <c r="E1" s="4" t="s">
        <v>336</v>
      </c>
      <c r="F1" s="4" t="s">
        <v>337</v>
      </c>
      <c r="G1" s="4" t="s">
        <v>338</v>
      </c>
      <c r="H1" s="4" t="s">
        <v>339</v>
      </c>
      <c r="I1" s="4" t="s">
        <v>340</v>
      </c>
      <c r="J1" s="4" t="s">
        <v>341</v>
      </c>
      <c r="K1" s="4" t="s">
        <v>342</v>
      </c>
      <c r="L1" s="4" t="s">
        <v>343</v>
      </c>
      <c r="M1" s="4" t="s">
        <v>344</v>
      </c>
      <c r="N1" s="16" t="s">
        <v>235</v>
      </c>
    </row>
    <row r="2" ht="82.05" customHeight="1" spans="1:14">
      <c r="A2" s="5" t="s">
        <v>2080</v>
      </c>
      <c r="B2" s="5" t="s">
        <v>373</v>
      </c>
      <c r="C2" s="6" t="s">
        <v>554</v>
      </c>
      <c r="D2" s="6" t="s">
        <v>2081</v>
      </c>
      <c r="E2" s="7" t="s">
        <v>2082</v>
      </c>
      <c r="F2" s="7" t="s">
        <v>557</v>
      </c>
      <c r="G2" s="5" t="s">
        <v>392</v>
      </c>
      <c r="H2" s="5" t="s">
        <v>352</v>
      </c>
      <c r="I2" s="5" t="s">
        <v>371</v>
      </c>
      <c r="J2" s="17" t="s">
        <v>2083</v>
      </c>
      <c r="K2" s="5" t="s">
        <v>355</v>
      </c>
      <c r="L2" s="5" t="s">
        <v>355</v>
      </c>
      <c r="M2" s="5" t="s">
        <v>356</v>
      </c>
      <c r="N2" s="18" t="s">
        <v>2084</v>
      </c>
    </row>
    <row r="3" ht="62" customHeight="1" spans="1:14">
      <c r="A3" s="5" t="s">
        <v>2085</v>
      </c>
      <c r="B3" s="5" t="s">
        <v>373</v>
      </c>
      <c r="C3" s="6" t="s">
        <v>563</v>
      </c>
      <c r="D3" s="6" t="s">
        <v>2086</v>
      </c>
      <c r="E3" s="7" t="s">
        <v>2087</v>
      </c>
      <c r="F3" s="7" t="s">
        <v>2088</v>
      </c>
      <c r="G3" s="5" t="s">
        <v>392</v>
      </c>
      <c r="H3" s="5" t="s">
        <v>352</v>
      </c>
      <c r="I3" s="5" t="s">
        <v>371</v>
      </c>
      <c r="J3" s="17" t="s">
        <v>2083</v>
      </c>
      <c r="K3" s="5" t="s">
        <v>355</v>
      </c>
      <c r="L3" s="5" t="s">
        <v>355</v>
      </c>
      <c r="M3" s="13" t="s">
        <v>356</v>
      </c>
      <c r="N3" s="18" t="s">
        <v>2084</v>
      </c>
    </row>
    <row r="4" ht="68" customHeight="1" spans="1:14">
      <c r="A4" s="8" t="s">
        <v>2089</v>
      </c>
      <c r="B4" s="5" t="s">
        <v>373</v>
      </c>
      <c r="C4" s="6" t="s">
        <v>573</v>
      </c>
      <c r="D4" s="6" t="s">
        <v>2090</v>
      </c>
      <c r="E4" s="7" t="s">
        <v>2091</v>
      </c>
      <c r="F4" s="7" t="s">
        <v>2092</v>
      </c>
      <c r="G4" s="5" t="s">
        <v>392</v>
      </c>
      <c r="H4" s="5" t="s">
        <v>352</v>
      </c>
      <c r="I4" s="5" t="s">
        <v>371</v>
      </c>
      <c r="J4" s="17" t="s">
        <v>2083</v>
      </c>
      <c r="K4" s="5" t="s">
        <v>355</v>
      </c>
      <c r="L4" s="5" t="s">
        <v>355</v>
      </c>
      <c r="M4" s="5" t="s">
        <v>356</v>
      </c>
      <c r="N4" s="18" t="s">
        <v>2084</v>
      </c>
    </row>
    <row r="5" customHeight="1" spans="1:14">
      <c r="A5" s="8" t="s">
        <v>2093</v>
      </c>
      <c r="B5" s="5" t="s">
        <v>373</v>
      </c>
      <c r="C5" s="6" t="s">
        <v>623</v>
      </c>
      <c r="D5" s="6" t="s">
        <v>2094</v>
      </c>
      <c r="E5" s="9" t="s">
        <v>2095</v>
      </c>
      <c r="F5" s="7" t="s">
        <v>2096</v>
      </c>
      <c r="G5" s="5" t="s">
        <v>392</v>
      </c>
      <c r="H5" s="5" t="s">
        <v>462</v>
      </c>
      <c r="I5" s="5" t="s">
        <v>371</v>
      </c>
      <c r="J5" s="17" t="s">
        <v>2083</v>
      </c>
      <c r="K5" s="13" t="s">
        <v>523</v>
      </c>
      <c r="L5" s="13" t="s">
        <v>523</v>
      </c>
      <c r="M5" s="5" t="s">
        <v>356</v>
      </c>
      <c r="N5" s="18" t="s">
        <v>2084</v>
      </c>
    </row>
    <row r="6" ht="75" customHeight="1" spans="1:14">
      <c r="A6" s="10"/>
      <c r="B6" s="5" t="s">
        <v>373</v>
      </c>
      <c r="C6" s="6" t="s">
        <v>630</v>
      </c>
      <c r="D6" s="6" t="s">
        <v>2097</v>
      </c>
      <c r="E6" s="9" t="s">
        <v>2098</v>
      </c>
      <c r="F6" s="7"/>
      <c r="G6" s="5"/>
      <c r="H6" s="5"/>
      <c r="I6" s="5"/>
      <c r="J6" s="17" t="s">
        <v>2083</v>
      </c>
      <c r="K6" s="13"/>
      <c r="L6" s="13"/>
      <c r="M6" s="5"/>
      <c r="N6" s="18" t="s">
        <v>2099</v>
      </c>
    </row>
    <row r="7" customHeight="1" spans="1:14">
      <c r="A7" s="11"/>
      <c r="B7" s="5" t="s">
        <v>373</v>
      </c>
      <c r="C7" s="12" t="s">
        <v>642</v>
      </c>
      <c r="D7" s="6" t="s">
        <v>2100</v>
      </c>
      <c r="E7" s="7" t="s">
        <v>2101</v>
      </c>
      <c r="F7" s="7"/>
      <c r="G7" s="5"/>
      <c r="H7" s="5"/>
      <c r="I7" s="5"/>
      <c r="J7" s="17" t="s">
        <v>2083</v>
      </c>
      <c r="K7" s="13"/>
      <c r="L7" s="13"/>
      <c r="M7" s="5"/>
      <c r="N7" s="18" t="s">
        <v>2084</v>
      </c>
    </row>
    <row r="8" customHeight="1" spans="1:14">
      <c r="A8" s="5" t="s">
        <v>2102</v>
      </c>
      <c r="B8" s="5" t="s">
        <v>373</v>
      </c>
      <c r="C8" s="12" t="s">
        <v>651</v>
      </c>
      <c r="D8" s="6" t="s">
        <v>2103</v>
      </c>
      <c r="E8" s="13" t="s">
        <v>2104</v>
      </c>
      <c r="F8" s="7" t="s">
        <v>654</v>
      </c>
      <c r="G8" s="5" t="s">
        <v>392</v>
      </c>
      <c r="H8" s="5" t="s">
        <v>352</v>
      </c>
      <c r="I8" s="5" t="s">
        <v>371</v>
      </c>
      <c r="J8" s="17" t="s">
        <v>2083</v>
      </c>
      <c r="K8" s="5" t="s">
        <v>355</v>
      </c>
      <c r="L8" s="5" t="s">
        <v>355</v>
      </c>
      <c r="M8" s="13" t="s">
        <v>356</v>
      </c>
      <c r="N8" s="18" t="s">
        <v>2084</v>
      </c>
    </row>
    <row r="9" ht="68" customHeight="1" spans="1:14">
      <c r="A9" s="5" t="s">
        <v>2105</v>
      </c>
      <c r="B9" s="5" t="s">
        <v>373</v>
      </c>
      <c r="C9" s="6" t="s">
        <v>660</v>
      </c>
      <c r="D9" s="6" t="s">
        <v>2106</v>
      </c>
      <c r="E9" s="7" t="s">
        <v>2107</v>
      </c>
      <c r="F9" s="7" t="s">
        <v>2108</v>
      </c>
      <c r="G9" s="5" t="s">
        <v>392</v>
      </c>
      <c r="H9" s="5" t="s">
        <v>352</v>
      </c>
      <c r="I9" s="5" t="s">
        <v>371</v>
      </c>
      <c r="J9" s="17" t="s">
        <v>2083</v>
      </c>
      <c r="K9" s="5" t="s">
        <v>355</v>
      </c>
      <c r="L9" s="5" t="s">
        <v>355</v>
      </c>
      <c r="M9" s="13" t="s">
        <v>356</v>
      </c>
      <c r="N9" s="18" t="s">
        <v>2084</v>
      </c>
    </row>
    <row r="10" ht="68" customHeight="1" spans="1:14">
      <c r="A10" s="5" t="s">
        <v>2109</v>
      </c>
      <c r="B10" s="5" t="s">
        <v>373</v>
      </c>
      <c r="C10" s="6" t="s">
        <v>669</v>
      </c>
      <c r="D10" s="6" t="s">
        <v>2110</v>
      </c>
      <c r="E10" s="7" t="s">
        <v>2111</v>
      </c>
      <c r="F10" s="7" t="s">
        <v>2112</v>
      </c>
      <c r="G10" s="5" t="s">
        <v>392</v>
      </c>
      <c r="H10" s="5" t="s">
        <v>352</v>
      </c>
      <c r="I10" s="5" t="s">
        <v>371</v>
      </c>
      <c r="J10" s="17" t="s">
        <v>2083</v>
      </c>
      <c r="K10" s="5" t="s">
        <v>355</v>
      </c>
      <c r="L10" s="5" t="s">
        <v>355</v>
      </c>
      <c r="M10" s="13" t="s">
        <v>356</v>
      </c>
      <c r="N10" s="18" t="s">
        <v>2084</v>
      </c>
    </row>
    <row r="11" ht="65" customHeight="1" spans="1:14">
      <c r="A11" s="5" t="s">
        <v>2113</v>
      </c>
      <c r="B11" s="5" t="s">
        <v>373</v>
      </c>
      <c r="C11" s="6" t="s">
        <v>678</v>
      </c>
      <c r="D11" s="6" t="s">
        <v>2114</v>
      </c>
      <c r="E11" s="7" t="s">
        <v>2115</v>
      </c>
      <c r="F11" s="7" t="s">
        <v>2116</v>
      </c>
      <c r="G11" s="5" t="s">
        <v>682</v>
      </c>
      <c r="H11" s="5" t="s">
        <v>352</v>
      </c>
      <c r="I11" s="5" t="s">
        <v>371</v>
      </c>
      <c r="J11" s="17" t="s">
        <v>2083</v>
      </c>
      <c r="K11" s="5" t="s">
        <v>355</v>
      </c>
      <c r="L11" s="5" t="s">
        <v>355</v>
      </c>
      <c r="M11" s="5" t="s">
        <v>356</v>
      </c>
      <c r="N11" s="18" t="s">
        <v>2117</v>
      </c>
    </row>
    <row r="12" customHeight="1" spans="1:14">
      <c r="A12" s="5" t="s">
        <v>2118</v>
      </c>
      <c r="B12" s="5" t="s">
        <v>373</v>
      </c>
      <c r="C12" s="6" t="s">
        <v>719</v>
      </c>
      <c r="D12" s="6" t="s">
        <v>2119</v>
      </c>
      <c r="E12" s="7" t="s">
        <v>2120</v>
      </c>
      <c r="F12" s="7" t="s">
        <v>2121</v>
      </c>
      <c r="G12" s="5" t="s">
        <v>392</v>
      </c>
      <c r="H12" s="5" t="s">
        <v>352</v>
      </c>
      <c r="I12" s="5" t="s">
        <v>371</v>
      </c>
      <c r="J12" s="17" t="s">
        <v>2083</v>
      </c>
      <c r="K12" s="5" t="s">
        <v>355</v>
      </c>
      <c r="L12" s="5" t="s">
        <v>355</v>
      </c>
      <c r="M12" s="13" t="s">
        <v>356</v>
      </c>
      <c r="N12" s="18" t="s">
        <v>2084</v>
      </c>
    </row>
    <row r="13" customHeight="1" spans="1:14">
      <c r="A13" s="5" t="s">
        <v>2122</v>
      </c>
      <c r="B13" s="5" t="s">
        <v>373</v>
      </c>
      <c r="C13" s="6" t="s">
        <v>726</v>
      </c>
      <c r="D13" s="6" t="s">
        <v>2123</v>
      </c>
      <c r="E13" s="7" t="s">
        <v>2124</v>
      </c>
      <c r="F13" s="7" t="s">
        <v>2125</v>
      </c>
      <c r="G13" s="5" t="s">
        <v>392</v>
      </c>
      <c r="H13" s="5" t="s">
        <v>352</v>
      </c>
      <c r="I13" s="5" t="s">
        <v>371</v>
      </c>
      <c r="J13" s="17" t="s">
        <v>2083</v>
      </c>
      <c r="K13" s="5" t="s">
        <v>355</v>
      </c>
      <c r="L13" s="5" t="s">
        <v>355</v>
      </c>
      <c r="M13" s="13" t="s">
        <v>356</v>
      </c>
      <c r="N13" s="18" t="s">
        <v>2084</v>
      </c>
    </row>
    <row r="14" s="1" customFormat="1" ht="23.25" customHeight="1" spans="1:14">
      <c r="A14" s="5" t="s">
        <v>2126</v>
      </c>
      <c r="B14" s="5" t="s">
        <v>373</v>
      </c>
      <c r="C14" s="6" t="s">
        <v>365</v>
      </c>
      <c r="D14" s="6" t="s">
        <v>2127</v>
      </c>
      <c r="E14" s="7" t="s">
        <v>2128</v>
      </c>
      <c r="F14" s="7" t="s">
        <v>2129</v>
      </c>
      <c r="G14" s="13" t="s">
        <v>369</v>
      </c>
      <c r="H14" s="13" t="s">
        <v>370</v>
      </c>
      <c r="I14" s="13" t="s">
        <v>371</v>
      </c>
      <c r="J14" s="17" t="s">
        <v>2083</v>
      </c>
      <c r="K14" s="13" t="s">
        <v>355</v>
      </c>
      <c r="L14" s="13" t="s">
        <v>355</v>
      </c>
      <c r="M14" s="13" t="s">
        <v>356</v>
      </c>
      <c r="N14" s="9" t="s">
        <v>2084</v>
      </c>
    </row>
    <row r="15" s="1" customFormat="1" ht="26" spans="1:14">
      <c r="A15" s="5" t="s">
        <v>2130</v>
      </c>
      <c r="B15" s="5" t="s">
        <v>373</v>
      </c>
      <c r="C15" s="6" t="s">
        <v>378</v>
      </c>
      <c r="D15" s="6" t="s">
        <v>2131</v>
      </c>
      <c r="E15" s="7" t="s">
        <v>2132</v>
      </c>
      <c r="F15" s="7" t="s">
        <v>2133</v>
      </c>
      <c r="G15" s="13" t="s">
        <v>369</v>
      </c>
      <c r="H15" s="13" t="s">
        <v>352</v>
      </c>
      <c r="I15" s="13" t="s">
        <v>371</v>
      </c>
      <c r="J15" s="17" t="s">
        <v>2083</v>
      </c>
      <c r="K15" s="13" t="s">
        <v>355</v>
      </c>
      <c r="L15" s="13" t="s">
        <v>355</v>
      </c>
      <c r="M15" s="13" t="s">
        <v>356</v>
      </c>
      <c r="N15" s="9" t="s">
        <v>2084</v>
      </c>
    </row>
    <row r="16" s="1" customFormat="1" ht="58.05" customHeight="1" spans="1:14">
      <c r="A16" s="5" t="s">
        <v>2134</v>
      </c>
      <c r="B16" s="5" t="s">
        <v>373</v>
      </c>
      <c r="C16" s="6" t="s">
        <v>427</v>
      </c>
      <c r="D16" s="6" t="s">
        <v>2135</v>
      </c>
      <c r="E16" s="7" t="s">
        <v>2136</v>
      </c>
      <c r="F16" s="7" t="s">
        <v>424</v>
      </c>
      <c r="G16" s="13" t="s">
        <v>392</v>
      </c>
      <c r="H16" s="13" t="s">
        <v>352</v>
      </c>
      <c r="I16" s="13" t="s">
        <v>393</v>
      </c>
      <c r="J16" s="17" t="s">
        <v>2083</v>
      </c>
      <c r="K16" s="13" t="s">
        <v>355</v>
      </c>
      <c r="L16" s="13" t="s">
        <v>355</v>
      </c>
      <c r="M16" s="13" t="s">
        <v>356</v>
      </c>
      <c r="N16" s="9" t="s">
        <v>2137</v>
      </c>
    </row>
    <row r="17" s="1" customFormat="1" ht="43.05" customHeight="1" spans="1:14">
      <c r="A17" s="8" t="s">
        <v>2138</v>
      </c>
      <c r="B17" s="5" t="s">
        <v>373</v>
      </c>
      <c r="C17" s="6" t="s">
        <v>752</v>
      </c>
      <c r="D17" s="6" t="s">
        <v>2139</v>
      </c>
      <c r="E17" s="6" t="s">
        <v>2140</v>
      </c>
      <c r="F17" s="8" t="s">
        <v>755</v>
      </c>
      <c r="G17" s="8" t="s">
        <v>392</v>
      </c>
      <c r="H17" s="8" t="s">
        <v>352</v>
      </c>
      <c r="I17" s="8" t="s">
        <v>371</v>
      </c>
      <c r="J17" s="17" t="s">
        <v>2083</v>
      </c>
      <c r="K17" s="8" t="s">
        <v>355</v>
      </c>
      <c r="L17" s="8" t="s">
        <v>355</v>
      </c>
      <c r="M17" s="8" t="s">
        <v>356</v>
      </c>
      <c r="N17" s="19" t="s">
        <v>2137</v>
      </c>
    </row>
    <row r="18" s="1" customFormat="1" ht="44" customHeight="1" spans="1:14">
      <c r="A18" s="5" t="s">
        <v>2141</v>
      </c>
      <c r="B18" s="5" t="s">
        <v>373</v>
      </c>
      <c r="C18" s="6" t="s">
        <v>790</v>
      </c>
      <c r="D18" s="6" t="s">
        <v>2142</v>
      </c>
      <c r="E18" s="7" t="s">
        <v>2143</v>
      </c>
      <c r="F18" s="7" t="s">
        <v>793</v>
      </c>
      <c r="G18" s="5" t="s">
        <v>392</v>
      </c>
      <c r="H18" s="5" t="s">
        <v>352</v>
      </c>
      <c r="I18" s="5" t="s">
        <v>371</v>
      </c>
      <c r="J18" s="17" t="s">
        <v>2083</v>
      </c>
      <c r="K18" s="5" t="s">
        <v>355</v>
      </c>
      <c r="L18" s="5" t="s">
        <v>355</v>
      </c>
      <c r="M18" s="5" t="s">
        <v>356</v>
      </c>
      <c r="N18" s="9" t="s">
        <v>2137</v>
      </c>
    </row>
    <row r="19" s="1" customFormat="1" ht="57" customHeight="1" spans="1:14">
      <c r="A19" s="5"/>
      <c r="B19" s="5" t="s">
        <v>373</v>
      </c>
      <c r="C19" s="6" t="s">
        <v>794</v>
      </c>
      <c r="D19" s="6" t="s">
        <v>2144</v>
      </c>
      <c r="E19" s="7"/>
      <c r="F19" s="7"/>
      <c r="G19" s="5"/>
      <c r="H19" s="5"/>
      <c r="I19" s="5"/>
      <c r="J19" s="17" t="s">
        <v>2083</v>
      </c>
      <c r="K19" s="5"/>
      <c r="L19" s="5"/>
      <c r="M19" s="5"/>
      <c r="N19" s="9" t="s">
        <v>2145</v>
      </c>
    </row>
    <row r="20" s="1" customFormat="1" ht="60" customHeight="1" spans="1:14">
      <c r="A20" s="5"/>
      <c r="B20" s="5" t="s">
        <v>373</v>
      </c>
      <c r="C20" s="12" t="s">
        <v>798</v>
      </c>
      <c r="D20" s="6" t="s">
        <v>2146</v>
      </c>
      <c r="E20" s="7"/>
      <c r="F20" s="7"/>
      <c r="G20" s="5"/>
      <c r="H20" s="5"/>
      <c r="I20" s="5"/>
      <c r="J20" s="17" t="s">
        <v>2083</v>
      </c>
      <c r="K20" s="5"/>
      <c r="L20" s="5"/>
      <c r="M20" s="5"/>
      <c r="N20" s="9" t="s">
        <v>2147</v>
      </c>
    </row>
    <row r="21" s="1" customFormat="1" ht="32" customHeight="1" spans="1:14">
      <c r="A21" s="5" t="s">
        <v>2148</v>
      </c>
      <c r="B21" s="5" t="s">
        <v>373</v>
      </c>
      <c r="C21" s="6" t="s">
        <v>801</v>
      </c>
      <c r="D21" s="6" t="s">
        <v>2149</v>
      </c>
      <c r="E21" s="7" t="s">
        <v>2150</v>
      </c>
      <c r="F21" s="7" t="s">
        <v>2151</v>
      </c>
      <c r="G21" s="5" t="s">
        <v>392</v>
      </c>
      <c r="H21" s="5" t="s">
        <v>352</v>
      </c>
      <c r="I21" s="5" t="s">
        <v>371</v>
      </c>
      <c r="J21" s="17" t="s">
        <v>2083</v>
      </c>
      <c r="K21" s="5" t="s">
        <v>355</v>
      </c>
      <c r="L21" s="5" t="s">
        <v>355</v>
      </c>
      <c r="M21" s="5" t="s">
        <v>356</v>
      </c>
      <c r="N21" s="13" t="s">
        <v>2084</v>
      </c>
    </row>
    <row r="22" s="1" customFormat="1" ht="53.25" customHeight="1" spans="1:14">
      <c r="A22" s="5" t="s">
        <v>2152</v>
      </c>
      <c r="B22" s="5" t="s">
        <v>373</v>
      </c>
      <c r="C22" s="6" t="s">
        <v>808</v>
      </c>
      <c r="D22" s="6" t="s">
        <v>2153</v>
      </c>
      <c r="E22" s="12" t="s">
        <v>2154</v>
      </c>
      <c r="F22" s="9" t="s">
        <v>2155</v>
      </c>
      <c r="G22" s="14" t="s">
        <v>682</v>
      </c>
      <c r="H22" s="5" t="s">
        <v>352</v>
      </c>
      <c r="I22" s="5" t="s">
        <v>371</v>
      </c>
      <c r="J22" s="17" t="s">
        <v>2083</v>
      </c>
      <c r="K22" s="5" t="s">
        <v>355</v>
      </c>
      <c r="L22" s="5" t="s">
        <v>355</v>
      </c>
      <c r="M22" s="13" t="s">
        <v>356</v>
      </c>
      <c r="N22" s="9" t="s">
        <v>2084</v>
      </c>
    </row>
    <row r="23" s="1" customFormat="1" ht="38.1" customHeight="1" spans="1:14">
      <c r="A23" s="5" t="s">
        <v>2156</v>
      </c>
      <c r="B23" s="5" t="s">
        <v>373</v>
      </c>
      <c r="C23" s="12" t="s">
        <v>1262</v>
      </c>
      <c r="D23" s="6" t="s">
        <v>2157</v>
      </c>
      <c r="E23" s="12" t="s">
        <v>2158</v>
      </c>
      <c r="F23" s="5" t="s">
        <v>456</v>
      </c>
      <c r="G23" s="5" t="s">
        <v>392</v>
      </c>
      <c r="H23" s="5" t="s">
        <v>535</v>
      </c>
      <c r="I23" s="5" t="s">
        <v>1265</v>
      </c>
      <c r="J23" s="17" t="s">
        <v>2083</v>
      </c>
      <c r="K23" s="5" t="s">
        <v>355</v>
      </c>
      <c r="L23" s="5" t="s">
        <v>355</v>
      </c>
      <c r="M23" s="5" t="s">
        <v>356</v>
      </c>
      <c r="N23" s="9" t="s">
        <v>2159</v>
      </c>
    </row>
    <row r="24" s="1" customFormat="1" ht="41.85" customHeight="1" spans="1:14">
      <c r="A24" s="5" t="s">
        <v>2160</v>
      </c>
      <c r="B24" s="5" t="s">
        <v>373</v>
      </c>
      <c r="C24" s="12" t="s">
        <v>2161</v>
      </c>
      <c r="D24" s="6" t="s">
        <v>2162</v>
      </c>
      <c r="E24" s="12" t="s">
        <v>2163</v>
      </c>
      <c r="F24" s="5" t="s">
        <v>456</v>
      </c>
      <c r="G24" s="5" t="s">
        <v>392</v>
      </c>
      <c r="H24" s="5" t="s">
        <v>535</v>
      </c>
      <c r="I24" s="5" t="s">
        <v>1265</v>
      </c>
      <c r="J24" s="17" t="s">
        <v>2083</v>
      </c>
      <c r="K24" s="5" t="s">
        <v>355</v>
      </c>
      <c r="L24" s="5" t="s">
        <v>355</v>
      </c>
      <c r="M24" s="5" t="s">
        <v>356</v>
      </c>
      <c r="N24" s="9" t="s">
        <v>2159</v>
      </c>
    </row>
    <row r="25" s="1" customFormat="1" ht="11.85" customHeight="1" spans="1:14">
      <c r="A25" s="5" t="s">
        <v>2164</v>
      </c>
      <c r="B25" s="5" t="s">
        <v>373</v>
      </c>
      <c r="C25" s="6" t="s">
        <v>1295</v>
      </c>
      <c r="D25" s="9" t="s">
        <v>2165</v>
      </c>
      <c r="E25" s="7" t="s">
        <v>2166</v>
      </c>
      <c r="F25" s="13" t="s">
        <v>456</v>
      </c>
      <c r="G25" s="5" t="s">
        <v>392</v>
      </c>
      <c r="H25" s="5" t="s">
        <v>352</v>
      </c>
      <c r="I25" s="5" t="s">
        <v>371</v>
      </c>
      <c r="J25" s="17" t="s">
        <v>2083</v>
      </c>
      <c r="K25" s="5" t="s">
        <v>355</v>
      </c>
      <c r="L25" s="5" t="s">
        <v>355</v>
      </c>
      <c r="M25" s="5" t="s">
        <v>356</v>
      </c>
      <c r="N25" s="9" t="s">
        <v>2167</v>
      </c>
    </row>
    <row r="26" s="1" customFormat="1" ht="26" spans="1:14">
      <c r="A26" s="5" t="s">
        <v>2168</v>
      </c>
      <c r="B26" s="5" t="s">
        <v>373</v>
      </c>
      <c r="C26" s="6" t="s">
        <v>1303</v>
      </c>
      <c r="D26" s="14" t="s">
        <v>2169</v>
      </c>
      <c r="E26" s="7" t="s">
        <v>2170</v>
      </c>
      <c r="F26" s="13" t="s">
        <v>456</v>
      </c>
      <c r="G26" s="5" t="s">
        <v>392</v>
      </c>
      <c r="H26" s="5" t="s">
        <v>352</v>
      </c>
      <c r="I26" s="5" t="s">
        <v>371</v>
      </c>
      <c r="J26" s="17" t="s">
        <v>2083</v>
      </c>
      <c r="K26" s="5" t="s">
        <v>355</v>
      </c>
      <c r="L26" s="5" t="s">
        <v>355</v>
      </c>
      <c r="M26" s="5" t="s">
        <v>356</v>
      </c>
      <c r="N26" s="9" t="s">
        <v>2084</v>
      </c>
    </row>
    <row r="27" s="1" customFormat="1" ht="23.75" customHeight="1" spans="1:14">
      <c r="A27" s="5" t="s">
        <v>2171</v>
      </c>
      <c r="B27" s="5" t="s">
        <v>373</v>
      </c>
      <c r="C27" s="6" t="s">
        <v>1309</v>
      </c>
      <c r="D27" s="9" t="s">
        <v>2172</v>
      </c>
      <c r="E27" s="7" t="s">
        <v>2173</v>
      </c>
      <c r="F27" s="13" t="s">
        <v>456</v>
      </c>
      <c r="G27" s="5" t="s">
        <v>392</v>
      </c>
      <c r="H27" s="5" t="s">
        <v>352</v>
      </c>
      <c r="I27" s="5" t="s">
        <v>371</v>
      </c>
      <c r="J27" s="17" t="s">
        <v>2083</v>
      </c>
      <c r="K27" s="5" t="s">
        <v>355</v>
      </c>
      <c r="L27" s="5" t="s">
        <v>355</v>
      </c>
      <c r="M27" s="5" t="s">
        <v>356</v>
      </c>
      <c r="N27" s="9" t="s">
        <v>2084</v>
      </c>
    </row>
    <row r="28" s="1" customFormat="1" ht="39" spans="1:14">
      <c r="A28" s="5" t="s">
        <v>2174</v>
      </c>
      <c r="B28" s="5" t="s">
        <v>373</v>
      </c>
      <c r="C28" s="6" t="s">
        <v>1315</v>
      </c>
      <c r="D28" s="9" t="s">
        <v>2175</v>
      </c>
      <c r="E28" s="7" t="s">
        <v>2176</v>
      </c>
      <c r="F28" s="13" t="s">
        <v>456</v>
      </c>
      <c r="G28" s="5" t="s">
        <v>392</v>
      </c>
      <c r="H28" s="5" t="s">
        <v>352</v>
      </c>
      <c r="I28" s="5" t="s">
        <v>371</v>
      </c>
      <c r="J28" s="17" t="s">
        <v>2083</v>
      </c>
      <c r="K28" s="5" t="s">
        <v>355</v>
      </c>
      <c r="L28" s="5" t="s">
        <v>355</v>
      </c>
      <c r="M28" s="5" t="s">
        <v>356</v>
      </c>
      <c r="N28" s="9" t="s">
        <v>2084</v>
      </c>
    </row>
    <row r="29" s="1" customFormat="1" ht="16.35" customHeight="1" spans="1:14">
      <c r="A29" s="5" t="s">
        <v>2177</v>
      </c>
      <c r="B29" s="5" t="s">
        <v>373</v>
      </c>
      <c r="C29" s="6" t="s">
        <v>1321</v>
      </c>
      <c r="D29" s="9" t="s">
        <v>2178</v>
      </c>
      <c r="E29" s="7" t="s">
        <v>2179</v>
      </c>
      <c r="F29" s="13" t="s">
        <v>456</v>
      </c>
      <c r="G29" s="5" t="s">
        <v>392</v>
      </c>
      <c r="H29" s="5" t="s">
        <v>352</v>
      </c>
      <c r="I29" s="5" t="s">
        <v>371</v>
      </c>
      <c r="J29" s="17" t="s">
        <v>2083</v>
      </c>
      <c r="K29" s="5" t="s">
        <v>355</v>
      </c>
      <c r="L29" s="5" t="s">
        <v>355</v>
      </c>
      <c r="M29" s="5" t="s">
        <v>356</v>
      </c>
      <c r="N29" s="9" t="s">
        <v>2180</v>
      </c>
    </row>
    <row r="30" s="1" customFormat="1" ht="32.25" customHeight="1" spans="1:14">
      <c r="A30" s="5" t="s">
        <v>2181</v>
      </c>
      <c r="B30" s="5" t="s">
        <v>373</v>
      </c>
      <c r="C30" s="6" t="s">
        <v>1327</v>
      </c>
      <c r="D30" s="9" t="s">
        <v>2182</v>
      </c>
      <c r="E30" s="7" t="s">
        <v>2183</v>
      </c>
      <c r="F30" s="13" t="s">
        <v>456</v>
      </c>
      <c r="G30" s="15" t="s">
        <v>436</v>
      </c>
      <c r="H30" s="5" t="s">
        <v>352</v>
      </c>
      <c r="I30" s="5" t="s">
        <v>353</v>
      </c>
      <c r="J30" s="17" t="s">
        <v>2083</v>
      </c>
      <c r="K30" s="5" t="s">
        <v>355</v>
      </c>
      <c r="L30" s="5" t="s">
        <v>355</v>
      </c>
      <c r="M30" s="5" t="s">
        <v>356</v>
      </c>
      <c r="N30" s="9" t="s">
        <v>2084</v>
      </c>
    </row>
    <row r="31" s="1" customFormat="1" ht="65" spans="1:14">
      <c r="A31" s="5" t="s">
        <v>2184</v>
      </c>
      <c r="B31" s="5" t="s">
        <v>373</v>
      </c>
      <c r="C31" s="6" t="s">
        <v>1335</v>
      </c>
      <c r="D31" s="9" t="s">
        <v>2185</v>
      </c>
      <c r="E31" s="7" t="s">
        <v>2186</v>
      </c>
      <c r="F31" s="13" t="s">
        <v>456</v>
      </c>
      <c r="G31" s="15" t="s">
        <v>436</v>
      </c>
      <c r="H31" s="5" t="s">
        <v>352</v>
      </c>
      <c r="I31" s="5" t="s">
        <v>353</v>
      </c>
      <c r="J31" s="17" t="s">
        <v>2083</v>
      </c>
      <c r="K31" s="5" t="s">
        <v>355</v>
      </c>
      <c r="L31" s="5" t="s">
        <v>355</v>
      </c>
      <c r="M31" s="5" t="s">
        <v>356</v>
      </c>
      <c r="N31" s="9" t="s">
        <v>2084</v>
      </c>
    </row>
    <row r="32" s="1" customFormat="1" ht="59.25" customHeight="1" spans="1:14">
      <c r="A32" s="5" t="s">
        <v>2187</v>
      </c>
      <c r="B32" s="5" t="s">
        <v>373</v>
      </c>
      <c r="C32" s="6" t="s">
        <v>1343</v>
      </c>
      <c r="D32" s="6" t="s">
        <v>2188</v>
      </c>
      <c r="E32" s="7" t="s">
        <v>2189</v>
      </c>
      <c r="F32" s="13" t="s">
        <v>456</v>
      </c>
      <c r="G32" s="5" t="s">
        <v>1346</v>
      </c>
      <c r="H32" s="5" t="s">
        <v>535</v>
      </c>
      <c r="I32" s="5" t="s">
        <v>353</v>
      </c>
      <c r="J32" s="17" t="s">
        <v>2083</v>
      </c>
      <c r="K32" s="5" t="s">
        <v>355</v>
      </c>
      <c r="L32" s="5" t="s">
        <v>523</v>
      </c>
      <c r="M32" s="5" t="s">
        <v>356</v>
      </c>
      <c r="N32" s="13" t="s">
        <v>2084</v>
      </c>
    </row>
    <row r="33" s="1" customFormat="1" ht="32" customHeight="1" spans="1:14">
      <c r="A33" s="5" t="s">
        <v>2190</v>
      </c>
      <c r="B33" s="5" t="s">
        <v>373</v>
      </c>
      <c r="C33" s="12" t="s">
        <v>1350</v>
      </c>
      <c r="D33" s="6" t="s">
        <v>2191</v>
      </c>
      <c r="E33" s="12" t="s">
        <v>2192</v>
      </c>
      <c r="F33" s="5" t="s">
        <v>456</v>
      </c>
      <c r="G33" s="5" t="s">
        <v>392</v>
      </c>
      <c r="H33" s="5" t="s">
        <v>535</v>
      </c>
      <c r="I33" s="5" t="s">
        <v>1265</v>
      </c>
      <c r="J33" s="17" t="s">
        <v>2083</v>
      </c>
      <c r="K33" s="5" t="s">
        <v>355</v>
      </c>
      <c r="L33" s="5" t="s">
        <v>355</v>
      </c>
      <c r="M33" s="5" t="s">
        <v>356</v>
      </c>
      <c r="N33" s="13" t="s">
        <v>2159</v>
      </c>
    </row>
    <row r="34" s="1" customFormat="1" ht="36" customHeight="1" spans="1:14">
      <c r="A34" s="5" t="s">
        <v>2193</v>
      </c>
      <c r="B34" s="5" t="s">
        <v>373</v>
      </c>
      <c r="C34" s="12" t="s">
        <v>2194</v>
      </c>
      <c r="D34" s="6" t="s">
        <v>2195</v>
      </c>
      <c r="E34" s="12" t="s">
        <v>2196</v>
      </c>
      <c r="F34" s="5" t="s">
        <v>456</v>
      </c>
      <c r="G34" s="5" t="s">
        <v>392</v>
      </c>
      <c r="H34" s="5" t="s">
        <v>535</v>
      </c>
      <c r="I34" s="5" t="s">
        <v>1265</v>
      </c>
      <c r="J34" s="17" t="s">
        <v>2083</v>
      </c>
      <c r="K34" s="5" t="s">
        <v>355</v>
      </c>
      <c r="L34" s="5" t="s">
        <v>355</v>
      </c>
      <c r="M34" s="5" t="s">
        <v>356</v>
      </c>
      <c r="N34" s="19" t="s">
        <v>2159</v>
      </c>
    </row>
    <row r="35" s="1" customFormat="1" ht="117" spans="1:14">
      <c r="A35" s="5" t="s">
        <v>2197</v>
      </c>
      <c r="B35" s="5" t="s">
        <v>373</v>
      </c>
      <c r="C35" s="6" t="s">
        <v>453</v>
      </c>
      <c r="D35" s="6" t="s">
        <v>2198</v>
      </c>
      <c r="E35" s="9" t="s">
        <v>2199</v>
      </c>
      <c r="F35" s="14" t="s">
        <v>456</v>
      </c>
      <c r="G35" s="5" t="s">
        <v>457</v>
      </c>
      <c r="H35" s="5" t="s">
        <v>370</v>
      </c>
      <c r="I35" s="5" t="s">
        <v>437</v>
      </c>
      <c r="J35" s="17" t="s">
        <v>2083</v>
      </c>
      <c r="K35" s="5" t="s">
        <v>355</v>
      </c>
      <c r="L35" s="5" t="s">
        <v>355</v>
      </c>
      <c r="M35" s="5" t="s">
        <v>356</v>
      </c>
      <c r="N35" s="13" t="s">
        <v>2200</v>
      </c>
    </row>
    <row r="36" s="1" customFormat="1" ht="117" spans="1:14">
      <c r="A36" s="5" t="s">
        <v>2201</v>
      </c>
      <c r="B36" s="5" t="s">
        <v>373</v>
      </c>
      <c r="C36" s="6" t="s">
        <v>459</v>
      </c>
      <c r="D36" s="6" t="s">
        <v>2202</v>
      </c>
      <c r="E36" s="9" t="s">
        <v>2203</v>
      </c>
      <c r="F36" s="14" t="s">
        <v>456</v>
      </c>
      <c r="G36" s="5" t="s">
        <v>457</v>
      </c>
      <c r="H36" s="5" t="s">
        <v>462</v>
      </c>
      <c r="I36" s="5" t="s">
        <v>437</v>
      </c>
      <c r="J36" s="17" t="s">
        <v>2083</v>
      </c>
      <c r="K36" s="5" t="s">
        <v>355</v>
      </c>
      <c r="L36" s="5" t="s">
        <v>355</v>
      </c>
      <c r="M36" s="5" t="s">
        <v>356</v>
      </c>
      <c r="N36" s="9" t="s">
        <v>2204</v>
      </c>
    </row>
    <row r="37" customHeight="1" spans="1:14">
      <c r="A37" s="5" t="s">
        <v>2205</v>
      </c>
      <c r="B37" s="5" t="s">
        <v>373</v>
      </c>
      <c r="C37" s="6" t="s">
        <v>1994</v>
      </c>
      <c r="D37" s="6" t="s">
        <v>2206</v>
      </c>
      <c r="E37" s="6" t="s">
        <v>2207</v>
      </c>
      <c r="F37" s="6" t="s">
        <v>1997</v>
      </c>
      <c r="G37" s="5" t="s">
        <v>392</v>
      </c>
      <c r="H37" s="5" t="s">
        <v>352</v>
      </c>
      <c r="I37" s="5" t="s">
        <v>437</v>
      </c>
      <c r="J37" s="17" t="s">
        <v>2083</v>
      </c>
      <c r="K37" s="5" t="s">
        <v>355</v>
      </c>
      <c r="L37" s="5" t="s">
        <v>355</v>
      </c>
      <c r="M37" s="5" t="s">
        <v>356</v>
      </c>
      <c r="N37" s="13" t="s">
        <v>2084</v>
      </c>
    </row>
    <row r="38" customHeight="1" spans="1:14">
      <c r="A38" s="5" t="s">
        <v>2208</v>
      </c>
      <c r="B38" s="5" t="s">
        <v>373</v>
      </c>
      <c r="C38" s="6" t="s">
        <v>1999</v>
      </c>
      <c r="D38" s="6" t="s">
        <v>2209</v>
      </c>
      <c r="E38" s="6" t="s">
        <v>2210</v>
      </c>
      <c r="F38" s="6" t="s">
        <v>2002</v>
      </c>
      <c r="G38" s="5" t="s">
        <v>392</v>
      </c>
      <c r="H38" s="5" t="s">
        <v>352</v>
      </c>
      <c r="I38" s="20" t="s">
        <v>437</v>
      </c>
      <c r="J38" s="17" t="s">
        <v>2083</v>
      </c>
      <c r="K38" s="5" t="s">
        <v>355</v>
      </c>
      <c r="L38" s="5" t="s">
        <v>355</v>
      </c>
      <c r="M38" s="5" t="s">
        <v>356</v>
      </c>
      <c r="N38" s="15" t="s">
        <v>2084</v>
      </c>
    </row>
  </sheetData>
  <mergeCells count="17">
    <mergeCell ref="A5:A7"/>
    <mergeCell ref="A18:A20"/>
    <mergeCell ref="E18:E20"/>
    <mergeCell ref="F5:F7"/>
    <mergeCell ref="F18:F20"/>
    <mergeCell ref="G5:G7"/>
    <mergeCell ref="G18:G20"/>
    <mergeCell ref="H5:H7"/>
    <mergeCell ref="H18:H20"/>
    <mergeCell ref="I5:I7"/>
    <mergeCell ref="I18:I20"/>
    <mergeCell ref="K5:K7"/>
    <mergeCell ref="K18:K20"/>
    <mergeCell ref="L5:L7"/>
    <mergeCell ref="L18:L20"/>
    <mergeCell ref="M5:M7"/>
    <mergeCell ref="M18:M20"/>
  </mergeCells>
  <pageMargins left="0.747916666666667" right="0.747916666666667" top="0.984027777777778" bottom="0.984027777777778" header="0.511805555555556" footer="0.511805555555556"/>
  <pageSetup paperSize="9" orientation="portrait"/>
  <headerFooter alignWithMargins="0">
    <oddHeader>&amp;L&amp;"Times New Roman,加粗"&amp;G&amp;R秘密▲</oddHeader>
    <oddFooter>&amp;L&amp;10&lt;以上所有信息均为中兴通讯股份有限公司所有，不得外传&gt;&amp;R&amp;10共 &amp;N 页 , 第 &amp;P 页</oddFoot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25</vt:i4>
      </vt:variant>
    </vt:vector>
  </HeadingPairs>
  <TitlesOfParts>
    <vt:vector size="25" baseType="lpstr">
      <vt:lpstr>修订历史</vt:lpstr>
      <vt:lpstr>Index</vt:lpstr>
      <vt:lpstr>数据上报的统一要求</vt:lpstr>
      <vt:lpstr>HA</vt:lpstr>
      <vt:lpstr>HB</vt:lpstr>
      <vt:lpstr>HC</vt:lpstr>
      <vt:lpstr>HD</vt:lpstr>
      <vt:lpstr>HE</vt:lpstr>
      <vt:lpstr>HF</vt:lpstr>
      <vt:lpstr>HG</vt:lpstr>
      <vt:lpstr>HH</vt:lpstr>
      <vt:lpstr>HI</vt:lpstr>
      <vt:lpstr>HJ</vt:lpstr>
      <vt:lpstr>HK</vt:lpstr>
      <vt:lpstr>HL</vt:lpstr>
      <vt:lpstr>HM</vt:lpstr>
      <vt:lpstr>HN</vt:lpstr>
      <vt:lpstr>HO</vt:lpstr>
      <vt:lpstr>HP</vt:lpstr>
      <vt:lpstr>HQ</vt:lpstr>
      <vt:lpstr>HR</vt:lpstr>
      <vt:lpstr>HS</vt:lpstr>
      <vt:lpstr>HT</vt:lpstr>
      <vt:lpstr>HU</vt:lpstr>
      <vt:lpstr>HV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zb</dc:creator>
  <cp:lastModifiedBy>蒲伯巍</cp:lastModifiedBy>
  <dcterms:created xsi:type="dcterms:W3CDTF">2009-07-28T02:25:00Z</dcterms:created>
  <dcterms:modified xsi:type="dcterms:W3CDTF">2024-07-01T01:02:06Z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3577CD08E2EA4587B07B9DD2C5D8631B</vt:lpwstr>
  </property>
</Properties>
</file>